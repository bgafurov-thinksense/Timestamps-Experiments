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Pixel6a/Tracing/"/>
    </mc:Choice>
  </mc:AlternateContent>
  <xr:revisionPtr revIDLastSave="0" documentId="13_ncr:1_{A30D2FB2-6657-5144-A286-624C72D0B2EE}" xr6:coauthVersionLast="47" xr6:coauthVersionMax="47" xr10:uidLastSave="{00000000-0000-0000-0000-000000000000}"/>
  <bookViews>
    <workbookView xWindow="620" yWindow="500" windowWidth="29640" windowHeight="17420" xr2:uid="{9D437E58-1C77-43DC-9448-C2741C7EF5BB}"/>
  </bookViews>
  <sheets>
    <sheet name="Sheet1" sheetId="1" r:id="rId1"/>
    <sheet name="import" sheetId="2" r:id="rId2"/>
  </sheets>
  <definedNames>
    <definedName name="Accelerometer_simultaneous_1" localSheetId="1">import!$A$1:$KU$1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A1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2" i="1"/>
  <c r="B2" i="1"/>
  <c r="C2" i="1"/>
  <c r="A3" i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B1" i="1"/>
  <c r="H1" i="1"/>
  <c r="D32" i="1" s="1"/>
  <c r="I1" i="1"/>
  <c r="E30" i="1" l="1"/>
  <c r="E11" i="1"/>
  <c r="D34" i="1"/>
  <c r="D30" i="1"/>
  <c r="E26" i="1"/>
  <c r="D26" i="1"/>
  <c r="F26" i="1" s="1"/>
  <c r="E33" i="1"/>
  <c r="D33" i="1"/>
  <c r="F33" i="1" s="1"/>
  <c r="E29" i="1"/>
  <c r="D29" i="1"/>
  <c r="E32" i="1"/>
  <c r="E31" i="1"/>
  <c r="F34" i="1"/>
  <c r="F30" i="1"/>
  <c r="F32" i="1"/>
  <c r="F29" i="1"/>
  <c r="D31" i="1"/>
  <c r="F31" i="1" s="1"/>
  <c r="E34" i="1"/>
  <c r="D22" i="1"/>
  <c r="F22" i="1" s="1"/>
  <c r="D23" i="1"/>
  <c r="F23" i="1" s="1"/>
  <c r="D21" i="1"/>
  <c r="F21" i="1" s="1"/>
  <c r="D25" i="1"/>
  <c r="F25" i="1" s="1"/>
  <c r="D15" i="1"/>
  <c r="F15" i="1" s="1"/>
  <c r="E21" i="1"/>
  <c r="D10" i="1"/>
  <c r="F10" i="1" s="1"/>
  <c r="D11" i="1"/>
  <c r="F11" i="1" s="1"/>
  <c r="D14" i="1"/>
  <c r="F14" i="1" s="1"/>
  <c r="E6" i="1"/>
  <c r="E8" i="1"/>
  <c r="E4" i="1"/>
  <c r="D6" i="1"/>
  <c r="F6" i="1" s="1"/>
  <c r="E18" i="1"/>
  <c r="E25" i="1"/>
  <c r="D24" i="1"/>
  <c r="F24" i="1" s="1"/>
  <c r="D8" i="1"/>
  <c r="F8" i="1" s="1"/>
  <c r="D28" i="1"/>
  <c r="F28" i="1" s="1"/>
  <c r="D7" i="1"/>
  <c r="F7" i="1" s="1"/>
  <c r="E24" i="1"/>
  <c r="E27" i="1"/>
  <c r="E2" i="1"/>
  <c r="E9" i="1"/>
  <c r="E3" i="1"/>
  <c r="E17" i="1"/>
  <c r="D17" i="1"/>
  <c r="F17" i="1" s="1"/>
  <c r="E13" i="1"/>
  <c r="D2" i="1"/>
  <c r="F2" i="1" s="1"/>
  <c r="D9" i="1"/>
  <c r="F9" i="1" s="1"/>
  <c r="D4" i="1"/>
  <c r="F4" i="1" s="1"/>
  <c r="D18" i="1"/>
  <c r="F18" i="1" s="1"/>
  <c r="E14" i="1"/>
  <c r="D3" i="1"/>
  <c r="F3" i="1" s="1"/>
  <c r="E10" i="1"/>
  <c r="E28" i="1"/>
  <c r="D20" i="1"/>
  <c r="F20" i="1" s="1"/>
  <c r="D13" i="1"/>
  <c r="F13" i="1" s="1"/>
  <c r="D27" i="1"/>
  <c r="F27" i="1" s="1"/>
  <c r="E20" i="1"/>
  <c r="E16" i="1"/>
  <c r="E19" i="1"/>
  <c r="D16" i="1"/>
  <c r="F16" i="1" s="1"/>
  <c r="D19" i="1"/>
  <c r="F19" i="1" s="1"/>
  <c r="D12" i="1"/>
  <c r="F12" i="1" s="1"/>
  <c r="E5" i="1"/>
  <c r="E22" i="1"/>
  <c r="D5" i="1"/>
  <c r="F5" i="1" s="1"/>
  <c r="E12" i="1"/>
  <c r="E23" i="1"/>
  <c r="E15" i="1"/>
  <c r="E7" i="1"/>
  <c r="D1" i="1"/>
  <c r="F1" i="1" s="1"/>
  <c r="E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D904795-5296-B640-BAB7-E88CA3F99AF0}" name="Accelerometer_simultaneous_1" type="6" refreshedVersion="8" background="1" saveData="1">
    <textPr codePage="10000" sourceFile="/Users/bgafurov/Documents/Pixel6a/Tracing/Accelerometer_simultaneous_1.txt" comma="1" delimiter=":">
      <textFields count="3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<sst xmlns="http://schemas.openxmlformats.org/spreadsheetml/2006/main" count="196" uniqueCount="49">
  <si>
    <t>{"type"</t>
  </si>
  <si>
    <t>Accelerometer</t>
  </si>
  <si>
    <t>records</t>
  </si>
  <si>
    <t>[{"timestamp"</t>
  </si>
  <si>
    <t>x</t>
  </si>
  <si>
    <t>y</t>
  </si>
  <si>
    <t>z</t>
  </si>
  <si>
    <t>{"timestamp"</t>
  </si>
  <si>
    <t>Rot X</t>
  </si>
  <si>
    <t>Rot Y</t>
  </si>
  <si>
    <t>s=at^2/2</t>
  </si>
  <si>
    <t>-0.2009971}</t>
  </si>
  <si>
    <t>0.9421739}</t>
  </si>
  <si>
    <t>0.14596218}</t>
  </si>
  <si>
    <t>0.6125626}</t>
  </si>
  <si>
    <t>1.777269}</t>
  </si>
  <si>
    <t>1.3064811}</t>
  </si>
  <si>
    <t>0.1692922}</t>
  </si>
  <si>
    <t>0.48155555}</t>
  </si>
  <si>
    <t>-0.19860429}</t>
  </si>
  <si>
    <t>-1.0815558}</t>
  </si>
  <si>
    <t>-1.1276177}</t>
  </si>
  <si>
    <t>-0.48993045}</t>
  </si>
  <si>
    <t>-1.0091729}</t>
  </si>
  <si>
    <t>-1.3776677}</t>
  </si>
  <si>
    <t>-0.53659046}</t>
  </si>
  <si>
    <t>0.18005991}</t>
  </si>
  <si>
    <t>0.11425728}</t>
  </si>
  <si>
    <t>0.7405786}</t>
  </si>
  <si>
    <t>1.6151553}</t>
  </si>
  <si>
    <t>0.60598236}</t>
  </si>
  <si>
    <t>-0.084346995}</t>
  </si>
  <si>
    <t>2.1421745}</t>
  </si>
  <si>
    <t>1.5361922}</t>
  </si>
  <si>
    <t>1.8083757}</t>
  </si>
  <si>
    <t>2.8378878}</t>
  </si>
  <si>
    <t>3.7298124}</t>
  </si>
  <si>
    <t>3.9481573}</t>
  </si>
  <si>
    <t>3.3684962}</t>
  </si>
  <si>
    <t>3.739982}</t>
  </si>
  <si>
    <t>3.0095727}</t>
  </si>
  <si>
    <t>2.1984057}</t>
  </si>
  <si>
    <t>2.507678}</t>
  </si>
  <si>
    <t>1.9746768}</t>
  </si>
  <si>
    <t>2.0793629}</t>
  </si>
  <si>
    <t>2.5543382}</t>
  </si>
  <si>
    <t>2.1828525}</t>
  </si>
  <si>
    <t>1.9597218}</t>
  </si>
  <si>
    <t>1.8490537}]}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</si>
</sst>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4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11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Sheet1!$E$1:$E$37</c:f>
              <c:numCache>
                <c:formatCode>General</c:formatCode>
                <c:ptCount val="37"/>
                <c:pt idx="0">
                  <c:v>0.20455719492960001</c:v>
                </c:pt>
                <c:pt idx="1">
                  <c:v>0.20533658365000004</c:v>
                </c:pt>
                <c:pt idx="2">
                  <c:v>0.17078891719049999</c:v>
                </c:pt>
                <c:pt idx="3">
                  <c:v>0.17739961143434999</c:v>
                </c:pt>
                <c:pt idx="4">
                  <c:v>0.15760142967239998</c:v>
                </c:pt>
                <c:pt idx="5">
                  <c:v>0.21954889494999999</c:v>
                </c:pt>
                <c:pt idx="6">
                  <c:v>5.6080443454399997E-2</c:v>
                </c:pt>
                <c:pt idx="7">
                  <c:v>0.15274969112790004</c:v>
                </c:pt>
                <c:pt idx="8">
                  <c:v>6.5104665189999994E-2</c:v>
                </c:pt>
                <c:pt idx="9">
                  <c:v>2.9103812097500004E-2</c:v>
                </c:pt>
                <c:pt idx="10">
                  <c:v>-6.4142844406100005E-2</c:v>
                </c:pt>
                <c:pt idx="11">
                  <c:v>-9.9083760600000015E-2</c:v>
                </c:pt>
                <c:pt idx="12">
                  <c:v>-0.13950842900445001</c:v>
                </c:pt>
                <c:pt idx="13">
                  <c:v>-0.18197770520330001</c:v>
                </c:pt>
                <c:pt idx="14">
                  <c:v>-0.19966320322964998</c:v>
                </c:pt>
                <c:pt idx="15">
                  <c:v>-0.20759096223674997</c:v>
                </c:pt>
                <c:pt idx="16">
                  <c:v>-0.22590296059199999</c:v>
                </c:pt>
                <c:pt idx="17">
                  <c:v>-0.24619133533950002</c:v>
                </c:pt>
                <c:pt idx="18">
                  <c:v>-0.22937332037715</c:v>
                </c:pt>
                <c:pt idx="19">
                  <c:v>-0.23842477621040001</c:v>
                </c:pt>
                <c:pt idx="20">
                  <c:v>-0.22043243365200002</c:v>
                </c:pt>
                <c:pt idx="21">
                  <c:v>-0.194662145728</c:v>
                </c:pt>
                <c:pt idx="22">
                  <c:v>-0.14143337632619998</c:v>
                </c:pt>
                <c:pt idx="23">
                  <c:v>-0.16929559470150002</c:v>
                </c:pt>
                <c:pt idx="24">
                  <c:v>-9.0148180408649997E-2</c:v>
                </c:pt>
                <c:pt idx="25">
                  <c:v>-1.6270725339040001E-2</c:v>
                </c:pt>
                <c:pt idx="26">
                  <c:v>3.100187075985E-2</c:v>
                </c:pt>
                <c:pt idx="27">
                  <c:v>5.9850837179999998E-2</c:v>
                </c:pt>
                <c:pt idx="28">
                  <c:v>0.10675431798480002</c:v>
                </c:pt>
                <c:pt idx="29">
                  <c:v>9.1409934324149983E-2</c:v>
                </c:pt>
                <c:pt idx="30">
                  <c:v>9.9540326496149995E-2</c:v>
                </c:pt>
                <c:pt idx="31">
                  <c:v>0.11172734504800001</c:v>
                </c:pt>
                <c:pt idx="32">
                  <c:v>0.11302798342000001</c:v>
                </c:pt>
                <c:pt idx="33">
                  <c:v>0.11121704802179998</c:v>
                </c:pt>
              </c:numCache>
            </c:numRef>
          </c:xVal>
          <c:yVal>
            <c:numRef>
              <c:f>Sheet1!$F$1:$F$37</c:f>
              <c:numCache>
                <c:formatCode>General</c:formatCode>
                <c:ptCount val="37"/>
                <c:pt idx="0">
                  <c:v>0.28987192763355796</c:v>
                </c:pt>
                <c:pt idx="1">
                  <c:v>0.29424449632407995</c:v>
                </c:pt>
                <c:pt idx="2">
                  <c:v>0.31927701114243828</c:v>
                </c:pt>
                <c:pt idx="3">
                  <c:v>0.3441430148429952</c:v>
                </c:pt>
                <c:pt idx="4">
                  <c:v>0.31214833459008606</c:v>
                </c:pt>
                <c:pt idx="5">
                  <c:v>0.37296883273328102</c:v>
                </c:pt>
                <c:pt idx="6">
                  <c:v>0.35165993776648657</c:v>
                </c:pt>
                <c:pt idx="7">
                  <c:v>0.466262208212472</c:v>
                </c:pt>
                <c:pt idx="8">
                  <c:v>0.42668809832571919</c:v>
                </c:pt>
                <c:pt idx="9">
                  <c:v>0.38655773549135353</c:v>
                </c:pt>
                <c:pt idx="10">
                  <c:v>0.3561981218745125</c:v>
                </c:pt>
                <c:pt idx="11">
                  <c:v>0.3281444261648529</c:v>
                </c:pt>
                <c:pt idx="12">
                  <c:v>0.32092470025993641</c:v>
                </c:pt>
                <c:pt idx="13">
                  <c:v>0.30450382518851737</c:v>
                </c:pt>
                <c:pt idx="14">
                  <c:v>0.26859725115763061</c:v>
                </c:pt>
                <c:pt idx="15">
                  <c:v>0.28460954974347885</c:v>
                </c:pt>
                <c:pt idx="16">
                  <c:v>0.30678344434612914</c:v>
                </c:pt>
                <c:pt idx="17">
                  <c:v>0.22760855859833212</c:v>
                </c:pt>
                <c:pt idx="18">
                  <c:v>0.25903820860891941</c:v>
                </c:pt>
                <c:pt idx="19">
                  <c:v>0.24658288474166321</c:v>
                </c:pt>
                <c:pt idx="20">
                  <c:v>0.20575127100635399</c:v>
                </c:pt>
                <c:pt idx="21">
                  <c:v>0.21123540535128554</c:v>
                </c:pt>
                <c:pt idx="22">
                  <c:v>0.22986745548653295</c:v>
                </c:pt>
                <c:pt idx="23">
                  <c:v>0.24942599228411544</c:v>
                </c:pt>
                <c:pt idx="24">
                  <c:v>0.20891056451916229</c:v>
                </c:pt>
                <c:pt idx="25">
                  <c:v>0.28904721269990208</c:v>
                </c:pt>
                <c:pt idx="26">
                  <c:v>0.29946160892680096</c:v>
                </c:pt>
                <c:pt idx="27">
                  <c:v>0.28328479625429165</c:v>
                </c:pt>
                <c:pt idx="28">
                  <c:v>0.29655236726800244</c:v>
                </c:pt>
                <c:pt idx="29">
                  <c:v>0.29838446281616715</c:v>
                </c:pt>
                <c:pt idx="30">
                  <c:v>0.28593819047444269</c:v>
                </c:pt>
                <c:pt idx="31">
                  <c:v>0.29955786637939502</c:v>
                </c:pt>
                <c:pt idx="32">
                  <c:v>0.30287854065128617</c:v>
                </c:pt>
                <c:pt idx="33">
                  <c:v>0.29878144818479074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73-48DB-8B46-344157D46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3320255"/>
        <c:axId val="1063328991"/>
      </c:scatterChart>
      <c:valAx>
        <c:axId val="1063320255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328991"/>
        <c:crosses val="autoZero"/>
        <c:crossBetween val="midCat"/>
      </c:valAx>
      <c:valAx>
        <c:axId val="1063328991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320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125730</xdr:colOff>
      <xdr:row>7</xdr:row>
      <xdr:rowOff>5080</xdr:rowOff>
    </xdr:from>
    <xdr:to>
      <xdr:col>11</xdr:col>
      <xdr:colOff>735330</xdr:colOff>
      <xdr:row>23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2</xdr:row>
          <xdr:rowOff>12700</xdr:rowOff>
        </xdr:from>
        <xdr:to>
          <xdr:col>7</xdr:col>
          <xdr:colOff>139700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508000</xdr:colOff>
          <xdr:row>2</xdr:row>
          <xdr:rowOff>0</xdr:rowOff>
        </xdr:from>
        <xdr:to>
          <xdr:col>7</xdr:col>
          <xdr:colOff>774700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</xdr:row>
          <xdr:rowOff>12700</xdr:rowOff>
        </xdr:from>
        <xdr:to>
          <xdr:col>8</xdr:col>
          <xdr:colOff>279400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635000</xdr:colOff>
          <xdr:row>2</xdr:row>
          <xdr:rowOff>0</xdr:rowOff>
        </xdr:from>
        <xdr:to>
          <xdr:col>9</xdr:col>
          <xdr:colOff>152400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ccelerometer_simultaneous_1" connectionId="1" xr16:uid="{DBE6C523-71BF-4643-A701-122641B3622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F0BCC-132D-4A9A-9464-AF2721727391}">
  <sheetPr codeName="Sheet1"/>
  <dimension ref="A1:W34"/>
  <sheetViews>
    <sheetView tabSelected="1" workbookViewId="0">
      <selection activeCell="I3" sqref="I3"/>
    </sheetView>
  </sheetViews>
  <sheetFormatPr baseColWidth="10" defaultColWidth="8.7109375" defaultRowHeight="19" x14ac:dyDescent="0.25"/>
  <sheetData>
    <row r="1" spans="1:23" x14ac:dyDescent="0.25">
      <c r="A1">
        <f>N1*$M1^2/2000000</f>
        <v>0.20455719492960001</v>
      </c>
      <c r="B1">
        <f t="shared" ref="B1:C1" si="0">O1*$M1^2/2000000</f>
        <v>0.37846012310400001</v>
      </c>
      <c r="C1">
        <f>P1*$M1^2/2000000</f>
        <v>7.5768532007999989E-2</v>
      </c>
      <c r="D1">
        <f t="shared" ref="D1" si="1">SIGN(B1)*COS(ATAN(A1/B1)+$H$1)*SQRT(SUMSQ(A1:B1))</f>
        <v>0.37846012310400001</v>
      </c>
      <c r="E1">
        <f t="shared" ref="E1" si="2">SIGN(B1)*SIN(ATAN(A1/B1)+$H$1)*SQRT(SUMSQ(A1:B1))</f>
        <v>0.20455719492960001</v>
      </c>
      <c r="F1">
        <f t="shared" ref="F1" si="3">SIGN(D1)*COS(ATAN(C1/D1)+$I$1)*SQRT(SUMSQ(C1:D1))</f>
        <v>0.28987192763355796</v>
      </c>
      <c r="H1">
        <f>3.14159/180*H2</f>
        <v>0</v>
      </c>
      <c r="I1">
        <f>3.14159/180*I2</f>
        <v>0.52359833333333328</v>
      </c>
      <c r="M1">
        <v>292</v>
      </c>
      <c r="N1">
        <v>4.7982078000000001</v>
      </c>
      <c r="O1">
        <v>8.8773719999999994</v>
      </c>
      <c r="P1">
        <v>1.777269</v>
      </c>
      <c r="R1" t="s">
        <v>10</v>
      </c>
      <c r="U1" s="2"/>
      <c r="V1" s="2"/>
      <c r="W1" s="2"/>
    </row>
    <row r="2" spans="1:23" x14ac:dyDescent="0.25">
      <c r="A2">
        <f t="shared" ref="A2:A28" si="4">N2*$M2^2/2000000</f>
        <v>0.20533658365000002</v>
      </c>
      <c r="B2">
        <f t="shared" ref="B2:B28" si="5">O2*$M2^2/2000000</f>
        <v>0.37148235704999999</v>
      </c>
      <c r="C2">
        <f t="shared" ref="C2:C28" si="6">P2*$M2^2/2000000</f>
        <v>5.4937530255000006E-2</v>
      </c>
      <c r="D2">
        <f t="shared" ref="D2:D28" si="7">SIGN(B2)*COS(ATAN(A2/B2)+$H$1)*SQRT(SUMSQ(A2:B2))</f>
        <v>0.37148235704999999</v>
      </c>
      <c r="E2">
        <f t="shared" ref="E2:E28" si="8">SIGN(B2)*SIN(ATAN(A2/B2)+$H$1)*SQRT(SUMSQ(A2:B2))</f>
        <v>0.20533658365000004</v>
      </c>
      <c r="F2">
        <f t="shared" ref="F2:F28" si="9">SIGN(D2)*COS(ATAN(C2/D2)+$I$1)*SQRT(SUMSQ(C2:D2))</f>
        <v>0.29424449632407995</v>
      </c>
      <c r="H2">
        <v>0</v>
      </c>
      <c r="I2">
        <v>30</v>
      </c>
      <c r="M2">
        <v>290</v>
      </c>
      <c r="N2">
        <v>4.8831530000000001</v>
      </c>
      <c r="O2">
        <v>8.834301</v>
      </c>
      <c r="P2">
        <v>1.3064811000000001</v>
      </c>
      <c r="U2" s="2"/>
      <c r="V2" s="2"/>
      <c r="W2" s="2"/>
    </row>
    <row r="3" spans="1:23" x14ac:dyDescent="0.25">
      <c r="A3">
        <f t="shared" si="4"/>
        <v>0.17078891719049999</v>
      </c>
      <c r="B3">
        <f t="shared" si="5"/>
        <v>0.37280763675450002</v>
      </c>
      <c r="C3">
        <f t="shared" si="6"/>
        <v>7.1679163940999999E-3</v>
      </c>
      <c r="D3">
        <f t="shared" si="7"/>
        <v>0.37280763675450002</v>
      </c>
      <c r="E3">
        <f t="shared" si="8"/>
        <v>0.17078891719049999</v>
      </c>
      <c r="F3">
        <f t="shared" si="9"/>
        <v>0.31927701114243828</v>
      </c>
      <c r="H3" s="1">
        <v>10</v>
      </c>
      <c r="I3" s="1">
        <v>10</v>
      </c>
      <c r="M3">
        <v>291</v>
      </c>
      <c r="N3">
        <v>4.0337009999999998</v>
      </c>
      <c r="O3">
        <v>8.8049890000000008</v>
      </c>
      <c r="P3">
        <v>0.1692922</v>
      </c>
      <c r="U3" s="2"/>
      <c r="V3" s="2"/>
      <c r="W3" s="2"/>
    </row>
    <row r="4" spans="1:23" x14ac:dyDescent="0.25">
      <c r="A4">
        <f t="shared" si="4"/>
        <v>0.17739961143434999</v>
      </c>
      <c r="B4">
        <f t="shared" si="5"/>
        <v>0.40915378046699996</v>
      </c>
      <c r="C4">
        <f t="shared" si="6"/>
        <v>2.0389302764774998E-2</v>
      </c>
      <c r="D4">
        <f t="shared" si="7"/>
        <v>0.40915378046699996</v>
      </c>
      <c r="E4">
        <f t="shared" si="8"/>
        <v>0.17739961143434999</v>
      </c>
      <c r="F4">
        <f t="shared" si="9"/>
        <v>0.3441430148429952</v>
      </c>
      <c r="H4" t="s">
        <v>8</v>
      </c>
      <c r="I4" t="s">
        <v>9</v>
      </c>
      <c r="M4">
        <v>291</v>
      </c>
      <c r="N4">
        <v>4.1898327000000002</v>
      </c>
      <c r="O4">
        <v>9.6634139999999995</v>
      </c>
      <c r="P4">
        <v>0.48155555</v>
      </c>
      <c r="U4" s="2"/>
      <c r="V4" s="2"/>
      <c r="W4" s="2"/>
    </row>
    <row r="5" spans="1:23" x14ac:dyDescent="0.25">
      <c r="A5">
        <f t="shared" si="4"/>
        <v>0.15760142967240001</v>
      </c>
      <c r="B5">
        <f t="shared" si="5"/>
        <v>0.35548220389500002</v>
      </c>
      <c r="C5">
        <f t="shared" si="6"/>
        <v>-8.5832802052200011E-3</v>
      </c>
      <c r="D5">
        <f t="shared" si="7"/>
        <v>0.35548220389500002</v>
      </c>
      <c r="E5">
        <f t="shared" si="8"/>
        <v>0.15760142967239998</v>
      </c>
      <c r="F5">
        <f t="shared" si="9"/>
        <v>0.31214833459008606</v>
      </c>
      <c r="M5">
        <v>294</v>
      </c>
      <c r="N5">
        <v>3.6466618</v>
      </c>
      <c r="O5">
        <v>8.2253275000000006</v>
      </c>
      <c r="P5">
        <v>-0.19860428999999999</v>
      </c>
      <c r="U5" s="2"/>
      <c r="V5" s="2"/>
      <c r="W5" s="2"/>
    </row>
    <row r="6" spans="1:23" x14ac:dyDescent="0.25">
      <c r="A6">
        <f t="shared" si="4"/>
        <v>0.21954889494999999</v>
      </c>
      <c r="B6">
        <f t="shared" si="5"/>
        <v>0.40440967262500005</v>
      </c>
      <c r="C6">
        <f t="shared" si="6"/>
        <v>-4.5479421390000004E-2</v>
      </c>
      <c r="D6">
        <f t="shared" si="7"/>
        <v>0.40440967262500005</v>
      </c>
      <c r="E6">
        <f t="shared" si="8"/>
        <v>0.21954889494999999</v>
      </c>
      <c r="F6">
        <f t="shared" si="9"/>
        <v>0.37296883273328102</v>
      </c>
      <c r="M6">
        <v>290</v>
      </c>
      <c r="N6">
        <v>5.221139</v>
      </c>
      <c r="O6">
        <v>9.6173525000000009</v>
      </c>
      <c r="P6">
        <v>-1.0815558000000001</v>
      </c>
      <c r="U6" s="2"/>
      <c r="V6" s="2"/>
      <c r="W6" s="2"/>
    </row>
    <row r="7" spans="1:23" x14ac:dyDescent="0.25">
      <c r="A7">
        <f t="shared" si="4"/>
        <v>5.6080443454400004E-2</v>
      </c>
      <c r="B7">
        <f t="shared" si="5"/>
        <v>0.37830711685599999</v>
      </c>
      <c r="C7">
        <f t="shared" si="6"/>
        <v>-4.8072597786400002E-2</v>
      </c>
      <c r="D7">
        <f t="shared" si="7"/>
        <v>0.37830711685599999</v>
      </c>
      <c r="E7">
        <f t="shared" si="8"/>
        <v>5.6080443454399997E-2</v>
      </c>
      <c r="F7">
        <f t="shared" si="9"/>
        <v>0.35165993776648657</v>
      </c>
      <c r="M7">
        <v>292</v>
      </c>
      <c r="N7">
        <v>1.3154542</v>
      </c>
      <c r="O7">
        <v>8.8737829999999995</v>
      </c>
      <c r="P7">
        <v>-1.1276177000000001</v>
      </c>
      <c r="U7" s="2"/>
      <c r="V7" s="2"/>
      <c r="W7" s="2"/>
    </row>
    <row r="8" spans="1:23" x14ac:dyDescent="0.25">
      <c r="A8">
        <f t="shared" si="4"/>
        <v>0.15274969112790002</v>
      </c>
      <c r="B8">
        <f t="shared" si="5"/>
        <v>0.52327005337349997</v>
      </c>
      <c r="C8">
        <f t="shared" si="6"/>
        <v>-2.6193886544025002E-2</v>
      </c>
      <c r="D8">
        <f t="shared" si="7"/>
        <v>0.52327005337349997</v>
      </c>
      <c r="E8">
        <f t="shared" si="8"/>
        <v>0.15274969112790004</v>
      </c>
      <c r="F8">
        <f t="shared" si="9"/>
        <v>0.466262208212472</v>
      </c>
      <c r="M8">
        <v>327</v>
      </c>
      <c r="N8">
        <v>2.8570302000000001</v>
      </c>
      <c r="O8">
        <v>9.7872430000000001</v>
      </c>
      <c r="P8">
        <v>-0.48993045000000002</v>
      </c>
      <c r="U8" s="2"/>
      <c r="V8" s="2"/>
      <c r="W8" s="2"/>
    </row>
    <row r="9" spans="1:23" x14ac:dyDescent="0.25">
      <c r="A9">
        <f t="shared" si="4"/>
        <v>6.5104665189999994E-2</v>
      </c>
      <c r="B9">
        <f t="shared" si="5"/>
        <v>0.46470072755000003</v>
      </c>
      <c r="C9">
        <f t="shared" si="6"/>
        <v>-4.8490757845000003E-2</v>
      </c>
      <c r="D9">
        <f t="shared" si="7"/>
        <v>0.46470072755000003</v>
      </c>
      <c r="E9">
        <f t="shared" si="8"/>
        <v>6.5104665189999994E-2</v>
      </c>
      <c r="F9">
        <f t="shared" si="9"/>
        <v>0.42668809832571919</v>
      </c>
      <c r="M9">
        <v>310</v>
      </c>
      <c r="N9">
        <v>1.3549358</v>
      </c>
      <c r="O9">
        <v>9.6711910000000003</v>
      </c>
      <c r="P9">
        <v>-1.0091729</v>
      </c>
      <c r="U9" s="2"/>
      <c r="V9" s="2"/>
      <c r="W9" s="2"/>
    </row>
    <row r="10" spans="1:23" x14ac:dyDescent="0.25">
      <c r="A10">
        <f t="shared" si="4"/>
        <v>2.9103812097500001E-2</v>
      </c>
      <c r="B10">
        <f t="shared" si="5"/>
        <v>0.41291190930000005</v>
      </c>
      <c r="C10">
        <f t="shared" si="6"/>
        <v>-5.7930926784999996E-2</v>
      </c>
      <c r="D10">
        <f t="shared" si="7"/>
        <v>0.4129119093000001</v>
      </c>
      <c r="E10">
        <f t="shared" si="8"/>
        <v>2.9103812097500004E-2</v>
      </c>
      <c r="F10">
        <f t="shared" si="9"/>
        <v>0.38655773549135353</v>
      </c>
      <c r="M10">
        <v>290</v>
      </c>
      <c r="N10">
        <v>0.69212395000000004</v>
      </c>
      <c r="O10">
        <v>9.8195460000000008</v>
      </c>
      <c r="P10">
        <v>-1.3776676999999999</v>
      </c>
      <c r="U10" s="2"/>
      <c r="V10" s="2"/>
      <c r="W10" s="2"/>
    </row>
    <row r="11" spans="1:23" x14ac:dyDescent="0.25">
      <c r="A11">
        <f t="shared" si="4"/>
        <v>-6.4142844406099991E-2</v>
      </c>
      <c r="B11">
        <f t="shared" si="5"/>
        <v>0.39800403380600002</v>
      </c>
      <c r="C11">
        <f t="shared" si="6"/>
        <v>-2.3032877200269999E-2</v>
      </c>
      <c r="D11">
        <f t="shared" si="7"/>
        <v>0.39800403380600008</v>
      </c>
      <c r="E11">
        <f t="shared" si="8"/>
        <v>-6.4142844406100005E-2</v>
      </c>
      <c r="F11">
        <f t="shared" si="9"/>
        <v>0.3561981218745125</v>
      </c>
      <c r="M11">
        <v>293</v>
      </c>
      <c r="N11">
        <v>-1.4943177999999999</v>
      </c>
      <c r="O11">
        <v>9.2721879999999999</v>
      </c>
      <c r="P11">
        <v>-0.53659045999999999</v>
      </c>
      <c r="U11" s="2"/>
      <c r="V11" s="2"/>
      <c r="W11" s="2"/>
    </row>
    <row r="12" spans="1:23" x14ac:dyDescent="0.25">
      <c r="A12">
        <f t="shared" si="4"/>
        <v>-9.9083760600000015E-2</v>
      </c>
      <c r="B12">
        <f t="shared" si="5"/>
        <v>0.383279863</v>
      </c>
      <c r="C12">
        <f t="shared" si="6"/>
        <v>7.5715192154999994E-3</v>
      </c>
      <c r="D12">
        <f t="shared" si="7"/>
        <v>0.38327986299999994</v>
      </c>
      <c r="E12">
        <f t="shared" si="8"/>
        <v>-9.9083760600000015E-2</v>
      </c>
      <c r="F12">
        <f t="shared" si="9"/>
        <v>0.3281444261648529</v>
      </c>
      <c r="M12">
        <v>290</v>
      </c>
      <c r="N12">
        <v>-2.3563320000000001</v>
      </c>
      <c r="O12">
        <v>9.1148600000000002</v>
      </c>
      <c r="P12">
        <v>0.18005990999999999</v>
      </c>
      <c r="U12" s="2"/>
      <c r="V12" s="2"/>
      <c r="W12" s="2"/>
    </row>
    <row r="13" spans="1:23" x14ac:dyDescent="0.25">
      <c r="A13">
        <f t="shared" si="4"/>
        <v>-0.13950842900445001</v>
      </c>
      <c r="B13">
        <f t="shared" si="5"/>
        <v>0.37336488007500002</v>
      </c>
      <c r="C13">
        <f t="shared" si="6"/>
        <v>4.8377103638400001E-3</v>
      </c>
      <c r="D13">
        <f t="shared" si="7"/>
        <v>0.37336488007500002</v>
      </c>
      <c r="E13">
        <f t="shared" si="8"/>
        <v>-0.13950842900445001</v>
      </c>
      <c r="F13">
        <f t="shared" si="9"/>
        <v>0.32092470025993641</v>
      </c>
      <c r="M13">
        <v>291</v>
      </c>
      <c r="N13">
        <v>-3.2949169</v>
      </c>
      <c r="O13">
        <v>8.8181499999999993</v>
      </c>
      <c r="P13">
        <v>0.11425728</v>
      </c>
      <c r="U13" s="2"/>
      <c r="V13" s="2"/>
      <c r="W13" s="2"/>
    </row>
    <row r="14" spans="1:23" x14ac:dyDescent="0.25">
      <c r="A14">
        <f t="shared" si="4"/>
        <v>-0.18197770520330001</v>
      </c>
      <c r="B14">
        <f t="shared" si="5"/>
        <v>0.36996399050150003</v>
      </c>
      <c r="C14">
        <f t="shared" si="6"/>
        <v>3.17889661157E-2</v>
      </c>
      <c r="D14">
        <f t="shared" si="7"/>
        <v>0.36996399050150003</v>
      </c>
      <c r="E14">
        <f t="shared" si="8"/>
        <v>-0.18197770520330001</v>
      </c>
      <c r="F14">
        <f t="shared" si="9"/>
        <v>0.30450382518851737</v>
      </c>
      <c r="M14">
        <v>293</v>
      </c>
      <c r="N14">
        <v>-4.2394834000000001</v>
      </c>
      <c r="O14">
        <v>8.6189470000000004</v>
      </c>
      <c r="P14">
        <v>0.74057859999999998</v>
      </c>
      <c r="U14" s="2"/>
      <c r="V14" s="2"/>
      <c r="W14" s="2"/>
    </row>
    <row r="15" spans="1:23" x14ac:dyDescent="0.25">
      <c r="A15">
        <f t="shared" si="4"/>
        <v>-0.19966320322964998</v>
      </c>
      <c r="B15">
        <f t="shared" si="5"/>
        <v>0.34963222535549998</v>
      </c>
      <c r="C15">
        <f t="shared" si="6"/>
        <v>6.8386482979649998E-2</v>
      </c>
      <c r="D15">
        <f t="shared" si="7"/>
        <v>0.34963222535549998</v>
      </c>
      <c r="E15">
        <f t="shared" si="8"/>
        <v>-0.19966320322964998</v>
      </c>
      <c r="F15">
        <f t="shared" si="9"/>
        <v>0.26859725115763061</v>
      </c>
      <c r="M15">
        <v>291</v>
      </c>
      <c r="N15">
        <v>-4.7156552999999999</v>
      </c>
      <c r="O15">
        <v>8.2576309999999999</v>
      </c>
      <c r="P15">
        <v>1.6151553000000001</v>
      </c>
      <c r="U15" s="2"/>
      <c r="V15" s="2"/>
      <c r="W15" s="2"/>
    </row>
    <row r="16" spans="1:23" x14ac:dyDescent="0.25">
      <c r="A16">
        <f t="shared" si="4"/>
        <v>-0.20759096223675</v>
      </c>
      <c r="B16">
        <f t="shared" si="5"/>
        <v>0.34345212129449998</v>
      </c>
      <c r="C16">
        <f t="shared" si="6"/>
        <v>2.5657596113580001E-2</v>
      </c>
      <c r="D16">
        <f t="shared" si="7"/>
        <v>0.34345212129449992</v>
      </c>
      <c r="E16">
        <f t="shared" si="8"/>
        <v>-0.20759096223674997</v>
      </c>
      <c r="F16">
        <f t="shared" si="9"/>
        <v>0.28460954974347885</v>
      </c>
      <c r="M16">
        <v>291</v>
      </c>
      <c r="N16">
        <v>-4.9028935000000002</v>
      </c>
      <c r="O16">
        <v>8.1116689999999991</v>
      </c>
      <c r="P16">
        <v>0.60598236000000005</v>
      </c>
      <c r="U16" s="2"/>
      <c r="V16" s="2"/>
      <c r="W16" s="2"/>
    </row>
    <row r="17" spans="1:23" x14ac:dyDescent="0.25">
      <c r="A17">
        <f t="shared" si="4"/>
        <v>-0.22590296059199999</v>
      </c>
      <c r="B17">
        <f t="shared" si="5"/>
        <v>0.35216683710399999</v>
      </c>
      <c r="C17">
        <f t="shared" si="6"/>
        <v>-3.5958810908399996E-3</v>
      </c>
      <c r="D17">
        <f t="shared" si="7"/>
        <v>0.35216683710399999</v>
      </c>
      <c r="E17">
        <f t="shared" si="8"/>
        <v>-0.22590296059199999</v>
      </c>
      <c r="F17">
        <f t="shared" si="9"/>
        <v>0.30678344434612914</v>
      </c>
      <c r="M17">
        <v>292</v>
      </c>
      <c r="N17">
        <v>-5.2989059999999997</v>
      </c>
      <c r="O17">
        <v>8.2606219999999997</v>
      </c>
      <c r="P17">
        <v>-8.4346994999999994E-2</v>
      </c>
      <c r="U17" s="2"/>
      <c r="V17" s="2"/>
      <c r="W17" s="2"/>
    </row>
    <row r="18" spans="1:23" x14ac:dyDescent="0.25">
      <c r="A18">
        <f t="shared" si="4"/>
        <v>-0.24619133533950002</v>
      </c>
      <c r="B18">
        <f t="shared" si="5"/>
        <v>0.31518570087765002</v>
      </c>
      <c r="C18">
        <f t="shared" si="6"/>
        <v>9.0700739417249987E-2</v>
      </c>
      <c r="D18">
        <f t="shared" si="7"/>
        <v>0.31518570087765002</v>
      </c>
      <c r="E18">
        <f t="shared" si="8"/>
        <v>-0.24619133533950002</v>
      </c>
      <c r="F18">
        <f t="shared" si="9"/>
        <v>0.22760855859833212</v>
      </c>
      <c r="M18">
        <v>291</v>
      </c>
      <c r="N18">
        <v>-5.814559</v>
      </c>
      <c r="O18">
        <v>7.4440713000000001</v>
      </c>
      <c r="P18">
        <v>2.1421744999999999</v>
      </c>
      <c r="U18" s="2"/>
      <c r="V18" s="2"/>
      <c r="W18" s="2"/>
    </row>
    <row r="19" spans="1:23" x14ac:dyDescent="0.25">
      <c r="A19">
        <f t="shared" si="4"/>
        <v>-0.22937332037715</v>
      </c>
      <c r="B19">
        <f t="shared" si="5"/>
        <v>0.33666412197285001</v>
      </c>
      <c r="C19">
        <f t="shared" si="6"/>
        <v>6.5043145844099995E-2</v>
      </c>
      <c r="D19">
        <f t="shared" si="7"/>
        <v>0.33666412197285006</v>
      </c>
      <c r="E19">
        <f t="shared" si="8"/>
        <v>-0.22937332037715</v>
      </c>
      <c r="F19">
        <f t="shared" si="9"/>
        <v>0.25903820860891941</v>
      </c>
      <c r="M19">
        <v>291</v>
      </c>
      <c r="N19">
        <v>-5.4173502999999998</v>
      </c>
      <c r="O19">
        <v>7.9513496999999997</v>
      </c>
      <c r="P19">
        <v>1.5361921999999999</v>
      </c>
    </row>
    <row r="20" spans="1:23" x14ac:dyDescent="0.25">
      <c r="A20">
        <f t="shared" si="4"/>
        <v>-0.23842477621040001</v>
      </c>
      <c r="B20">
        <f t="shared" si="5"/>
        <v>0.32923990172000001</v>
      </c>
      <c r="C20">
        <f t="shared" si="6"/>
        <v>7.70946728424E-2</v>
      </c>
      <c r="D20">
        <f t="shared" si="7"/>
        <v>0.32923990172000006</v>
      </c>
      <c r="E20">
        <f t="shared" si="8"/>
        <v>-0.23842477621040001</v>
      </c>
      <c r="F20">
        <f t="shared" si="9"/>
        <v>0.24658288474166321</v>
      </c>
      <c r="M20">
        <v>292</v>
      </c>
      <c r="N20">
        <v>-5.5926247</v>
      </c>
      <c r="O20">
        <v>7.7228349999999999</v>
      </c>
      <c r="P20">
        <v>1.8083757</v>
      </c>
    </row>
    <row r="21" spans="1:23" x14ac:dyDescent="0.25">
      <c r="A21">
        <f t="shared" si="4"/>
        <v>-0.22043243365200002</v>
      </c>
      <c r="B21">
        <f t="shared" si="5"/>
        <v>0.30695398788915002</v>
      </c>
      <c r="C21">
        <f t="shared" si="6"/>
        <v>0.12015758839589999</v>
      </c>
      <c r="D21">
        <f t="shared" si="7"/>
        <v>0.30695398788915002</v>
      </c>
      <c r="E21">
        <f t="shared" si="8"/>
        <v>-0.22043243365200002</v>
      </c>
      <c r="F21">
        <f t="shared" si="9"/>
        <v>0.20575127100635399</v>
      </c>
      <c r="M21">
        <v>291</v>
      </c>
      <c r="N21">
        <v>-5.2061840000000004</v>
      </c>
      <c r="O21">
        <v>7.2496543000000004</v>
      </c>
      <c r="P21">
        <v>2.8378877999999998</v>
      </c>
    </row>
    <row r="22" spans="1:23" s="4" customFormat="1" x14ac:dyDescent="0.25">
      <c r="A22" s="4">
        <f t="shared" si="4"/>
        <v>-0.194662145728</v>
      </c>
      <c r="B22" s="4">
        <f t="shared" si="5"/>
        <v>0.33571757832800003</v>
      </c>
      <c r="C22" s="4">
        <f t="shared" si="6"/>
        <v>0.15900936223679998</v>
      </c>
      <c r="D22" s="4">
        <f t="shared" si="7"/>
        <v>0.33571757832800009</v>
      </c>
      <c r="E22" s="4">
        <f t="shared" si="8"/>
        <v>-0.194662145728</v>
      </c>
      <c r="F22" s="4">
        <f t="shared" si="9"/>
        <v>0.21123540535128554</v>
      </c>
      <c r="M22">
        <v>292</v>
      </c>
      <c r="N22">
        <v>-4.5661040000000002</v>
      </c>
      <c r="O22">
        <v>7.8747790000000002</v>
      </c>
      <c r="P22">
        <v>3.7298124000000001</v>
      </c>
    </row>
    <row r="23" spans="1:23" s="4" customFormat="1" x14ac:dyDescent="0.25">
      <c r="A23" s="4">
        <f t="shared" si="4"/>
        <v>-0.14143337632620001</v>
      </c>
      <c r="B23" s="4">
        <f t="shared" si="5"/>
        <v>0.36194179423949996</v>
      </c>
      <c r="C23" s="4">
        <f t="shared" si="6"/>
        <v>0.16716695416065</v>
      </c>
      <c r="D23" s="4">
        <f t="shared" si="7"/>
        <v>0.36194179423949996</v>
      </c>
      <c r="E23" s="4">
        <f t="shared" si="8"/>
        <v>-0.14143337632619998</v>
      </c>
      <c r="F23" s="4">
        <f t="shared" si="9"/>
        <v>0.22986745548653295</v>
      </c>
      <c r="M23">
        <v>291</v>
      </c>
      <c r="N23">
        <v>-3.3403803999999999</v>
      </c>
      <c r="O23">
        <v>8.5483589999999996</v>
      </c>
      <c r="P23">
        <v>3.9481573000000001</v>
      </c>
    </row>
    <row r="24" spans="1:23" x14ac:dyDescent="0.25">
      <c r="A24">
        <f t="shared" si="4"/>
        <v>-0.16929559470149999</v>
      </c>
      <c r="B24">
        <f t="shared" si="5"/>
        <v>0.38085798805335003</v>
      </c>
      <c r="C24">
        <f t="shared" si="6"/>
        <v>0.1608136928361</v>
      </c>
      <c r="D24">
        <f t="shared" si="7"/>
        <v>0.38085798805335003</v>
      </c>
      <c r="E24">
        <f t="shared" si="8"/>
        <v>-0.16929559470150002</v>
      </c>
      <c r="F24">
        <f t="shared" si="9"/>
        <v>0.24942599228411544</v>
      </c>
      <c r="M24">
        <v>309</v>
      </c>
      <c r="N24">
        <v>-3.546163</v>
      </c>
      <c r="O24">
        <v>7.9776707</v>
      </c>
      <c r="P24">
        <v>3.3684962000000001</v>
      </c>
    </row>
    <row r="25" spans="1:23" x14ac:dyDescent="0.25">
      <c r="A25">
        <f t="shared" si="4"/>
        <v>-9.0148180408649997E-2</v>
      </c>
      <c r="B25">
        <f t="shared" si="5"/>
        <v>0.32169347273700005</v>
      </c>
      <c r="C25">
        <f t="shared" si="6"/>
        <v>0.13936855923899999</v>
      </c>
      <c r="D25">
        <f t="shared" si="7"/>
        <v>0.32169347273700011</v>
      </c>
      <c r="E25">
        <f t="shared" si="8"/>
        <v>-9.0148180408649997E-2</v>
      </c>
      <c r="F25">
        <f t="shared" si="9"/>
        <v>0.20891056451916229</v>
      </c>
      <c r="M25">
        <v>273</v>
      </c>
      <c r="N25">
        <v>-2.4191436999999998</v>
      </c>
      <c r="O25">
        <v>8.6327060000000007</v>
      </c>
      <c r="P25">
        <v>3.7399819999999999</v>
      </c>
    </row>
    <row r="26" spans="1:23" x14ac:dyDescent="0.25">
      <c r="A26">
        <f t="shared" si="4"/>
        <v>-1.6270725339040001E-2</v>
      </c>
      <c r="B26">
        <f t="shared" si="5"/>
        <v>0.40783921984400001</v>
      </c>
      <c r="C26">
        <f t="shared" si="6"/>
        <v>0.12830410334639999</v>
      </c>
      <c r="D26">
        <f t="shared" si="7"/>
        <v>0.40783921984400001</v>
      </c>
      <c r="E26">
        <f t="shared" si="8"/>
        <v>-1.6270725339040001E-2</v>
      </c>
      <c r="F26">
        <f t="shared" si="9"/>
        <v>0.28904721269990208</v>
      </c>
      <c r="M26">
        <v>292</v>
      </c>
      <c r="N26">
        <v>-0.38165522000000002</v>
      </c>
      <c r="O26">
        <v>9.5665045000000006</v>
      </c>
      <c r="P26">
        <v>3.0095727000000001</v>
      </c>
    </row>
    <row r="27" spans="1:23" x14ac:dyDescent="0.25">
      <c r="A27">
        <f t="shared" si="4"/>
        <v>3.100187075985E-2</v>
      </c>
      <c r="B27">
        <f t="shared" si="5"/>
        <v>0.39952902268799995</v>
      </c>
      <c r="C27">
        <f t="shared" si="6"/>
        <v>9.3081596540849992E-2</v>
      </c>
      <c r="D27">
        <f t="shared" si="7"/>
        <v>0.39952902268799995</v>
      </c>
      <c r="E27">
        <f t="shared" si="8"/>
        <v>3.100187075985E-2</v>
      </c>
      <c r="F27">
        <f t="shared" si="9"/>
        <v>0.29946160892680096</v>
      </c>
      <c r="M27">
        <v>291</v>
      </c>
      <c r="N27">
        <v>0.73220370000000001</v>
      </c>
      <c r="O27">
        <v>9.4360959999999992</v>
      </c>
      <c r="P27">
        <v>2.1984056999999999</v>
      </c>
    </row>
    <row r="28" spans="1:23" x14ac:dyDescent="0.25">
      <c r="A28">
        <f t="shared" si="4"/>
        <v>5.9850837179999998E-2</v>
      </c>
      <c r="B28">
        <f t="shared" si="5"/>
        <v>0.38840989930199998</v>
      </c>
      <c r="C28">
        <f t="shared" si="6"/>
        <v>0.10617634035899999</v>
      </c>
      <c r="D28">
        <f t="shared" si="7"/>
        <v>0.38840989930199998</v>
      </c>
      <c r="E28">
        <f t="shared" si="8"/>
        <v>5.9850837179999998E-2</v>
      </c>
      <c r="F28">
        <f t="shared" si="9"/>
        <v>0.28328479625429165</v>
      </c>
      <c r="M28">
        <v>291</v>
      </c>
      <c r="N28">
        <v>1.4135599999999999</v>
      </c>
      <c r="O28">
        <v>9.1734840000000002</v>
      </c>
      <c r="P28">
        <v>2.5076779999999999</v>
      </c>
    </row>
    <row r="29" spans="1:23" x14ac:dyDescent="0.25">
      <c r="A29">
        <f t="shared" ref="A29:A37" si="10">N29*$M29^2/2000000</f>
        <v>0.10675431798480002</v>
      </c>
      <c r="B29">
        <f t="shared" ref="B29:B37" si="11">O29*$M29^2/2000000</f>
        <v>0.39103293938400002</v>
      </c>
      <c r="C29">
        <f t="shared" ref="C29:C37" si="12">P29*$M29^2/2000000</f>
        <v>8.4184421337599999E-2</v>
      </c>
      <c r="D29">
        <f t="shared" ref="D29:D37" si="13">SIGN(B29)*COS(ATAN(A29/B29)+$H$1)*SQRT(SUMSQ(A29:B29))</f>
        <v>0.39103293938400002</v>
      </c>
      <c r="E29">
        <f t="shared" ref="E29:E37" si="14">SIGN(B29)*SIN(ATAN(A29/B29)+$H$1)*SQRT(SUMSQ(A29:B29))</f>
        <v>0.10675431798480002</v>
      </c>
      <c r="F29">
        <f t="shared" ref="F29:F37" si="15">SIGN(D29)*COS(ATAN(C29/D29)+$I$1)*SQRT(SUMSQ(C29:D29))</f>
        <v>0.29655236726800244</v>
      </c>
      <c r="M29">
        <v>292</v>
      </c>
      <c r="N29">
        <v>2.5040889000000002</v>
      </c>
      <c r="O29">
        <v>9.1722870000000007</v>
      </c>
      <c r="P29">
        <v>1.9746767999999999</v>
      </c>
    </row>
    <row r="30" spans="1:23" x14ac:dyDescent="0.25">
      <c r="A30">
        <f t="shared" si="10"/>
        <v>9.1409934324149983E-2</v>
      </c>
      <c r="B30">
        <f t="shared" si="11"/>
        <v>0.39537520793550002</v>
      </c>
      <c r="C30">
        <f t="shared" si="12"/>
        <v>8.8041264867449995E-2</v>
      </c>
      <c r="D30">
        <f t="shared" si="13"/>
        <v>0.39537520793549996</v>
      </c>
      <c r="E30">
        <f t="shared" si="14"/>
        <v>9.1409934324149983E-2</v>
      </c>
      <c r="F30">
        <f t="shared" si="15"/>
        <v>0.29838446281616715</v>
      </c>
      <c r="M30">
        <v>291</v>
      </c>
      <c r="N30">
        <v>2.1589242999999998</v>
      </c>
      <c r="O30">
        <v>9.3379910000000006</v>
      </c>
      <c r="P30">
        <v>2.0793629</v>
      </c>
    </row>
    <row r="31" spans="1:23" x14ac:dyDescent="0.25">
      <c r="A31">
        <f t="shared" si="10"/>
        <v>9.9540326496150008E-2</v>
      </c>
      <c r="B31">
        <f t="shared" si="11"/>
        <v>0.39261439563299999</v>
      </c>
      <c r="C31">
        <f t="shared" si="12"/>
        <v>0.1081519565571</v>
      </c>
      <c r="D31">
        <f t="shared" si="13"/>
        <v>0.39261439563299999</v>
      </c>
      <c r="E31">
        <f t="shared" si="14"/>
        <v>9.9540326496149995E-2</v>
      </c>
      <c r="F31">
        <f t="shared" si="15"/>
        <v>0.28593819047444269</v>
      </c>
      <c r="M31">
        <v>291</v>
      </c>
      <c r="N31">
        <v>2.3509483000000002</v>
      </c>
      <c r="O31">
        <v>9.272786</v>
      </c>
      <c r="P31">
        <v>2.5543382000000001</v>
      </c>
    </row>
    <row r="32" spans="1:23" x14ac:dyDescent="0.25">
      <c r="A32">
        <f t="shared" si="10"/>
        <v>0.111727345048</v>
      </c>
      <c r="B32">
        <f t="shared" si="11"/>
        <v>0.39962733742400003</v>
      </c>
      <c r="C32">
        <f t="shared" si="12"/>
        <v>9.3059367779999999E-2</v>
      </c>
      <c r="D32">
        <f t="shared" si="13"/>
        <v>0.39962733742400003</v>
      </c>
      <c r="E32">
        <f t="shared" si="14"/>
        <v>0.11172734504800001</v>
      </c>
      <c r="F32">
        <f t="shared" si="15"/>
        <v>0.29955786637939502</v>
      </c>
      <c r="M32">
        <v>292</v>
      </c>
      <c r="N32">
        <v>2.6207389999999999</v>
      </c>
      <c r="O32">
        <v>9.373882</v>
      </c>
      <c r="P32">
        <v>2.1828525000000001</v>
      </c>
    </row>
    <row r="33" spans="1:16" x14ac:dyDescent="0.25">
      <c r="A33">
        <f t="shared" si="10"/>
        <v>0.11302798342000001</v>
      </c>
      <c r="B33">
        <f t="shared" si="11"/>
        <v>0.39796967736799999</v>
      </c>
      <c r="C33">
        <f t="shared" si="12"/>
        <v>8.3546859777600013E-2</v>
      </c>
      <c r="D33">
        <f t="shared" si="13"/>
        <v>0.39796967736800004</v>
      </c>
      <c r="E33">
        <f t="shared" si="14"/>
        <v>0.11302798342000001</v>
      </c>
      <c r="F33">
        <f t="shared" si="15"/>
        <v>0.30287854065128617</v>
      </c>
      <c r="M33">
        <v>292</v>
      </c>
      <c r="N33">
        <v>2.6512475000000002</v>
      </c>
      <c r="O33">
        <v>9.3349989999999998</v>
      </c>
      <c r="P33">
        <v>1.9597218000000001</v>
      </c>
    </row>
    <row r="34" spans="1:16" x14ac:dyDescent="0.25">
      <c r="A34">
        <f t="shared" si="10"/>
        <v>0.11121704802180001</v>
      </c>
      <c r="B34">
        <f t="shared" si="11"/>
        <v>0.38958445618900001</v>
      </c>
      <c r="C34">
        <f t="shared" si="12"/>
        <v>7.7217407038849994E-2</v>
      </c>
      <c r="D34">
        <f t="shared" si="13"/>
        <v>0.38958445618900001</v>
      </c>
      <c r="E34">
        <f t="shared" si="14"/>
        <v>0.11121704802179998</v>
      </c>
      <c r="F34">
        <f t="shared" si="15"/>
        <v>0.29878144818479074</v>
      </c>
      <c r="M34">
        <v>289</v>
      </c>
      <c r="N34">
        <v>2.6632115999999999</v>
      </c>
      <c r="O34">
        <v>9.3290179999999996</v>
      </c>
      <c r="P34">
        <v>1.8490537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minus">
                <anchor moveWithCells="1" sizeWithCells="1">
                  <from>
                    <xdr:col>6</xdr:col>
                    <xdr:colOff>647700</xdr:colOff>
                    <xdr:row>2</xdr:row>
                    <xdr:rowOff>12700</xdr:rowOff>
                  </from>
                  <to>
                    <xdr:col>7</xdr:col>
                    <xdr:colOff>139700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plus">
                <anchor moveWithCells="1" sizeWithCells="1">
                  <from>
                    <xdr:col>7</xdr:col>
                    <xdr:colOff>508000</xdr:colOff>
                    <xdr:row>2</xdr:row>
                    <xdr:rowOff>0</xdr:rowOff>
                  </from>
                  <to>
                    <xdr:col>7</xdr:col>
                    <xdr:colOff>774700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minus">
                <anchor moveWithCells="1" sizeWithCells="1">
                  <from>
                    <xdr:col>8</xdr:col>
                    <xdr:colOff>12700</xdr:colOff>
                    <xdr:row>2</xdr:row>
                    <xdr:rowOff>12700</xdr:rowOff>
                  </from>
                  <to>
                    <xdr:col>8</xdr:col>
                    <xdr:colOff>279400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iplus">
                <anchor moveWithCells="1" sizeWithCells="1">
                  <from>
                    <xdr:col>8</xdr:col>
                    <xdr:colOff>635000</xdr:colOff>
                    <xdr:row>2</xdr:row>
                    <xdr:rowOff>0</xdr:rowOff>
                  </from>
                  <to>
                    <xdr:col>9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41DED-69A7-1147-AA97-DE9D298993A8}">
  <sheetPr codeName="Sheet2"/>
  <dimension ref="A1:KU35"/>
  <sheetViews>
    <sheetView workbookViewId="0">
      <selection activeCell="A2" sqref="A2:D35"/>
    </sheetView>
  </sheetViews>
  <sheetFormatPr baseColWidth="10" defaultRowHeight="19" x14ac:dyDescent="0.25"/>
  <cols>
    <col min="1" max="1" width="6.85546875" bestFit="1" customWidth="1"/>
    <col min="2" max="2" width="13" bestFit="1" customWidth="1"/>
    <col min="3" max="3" width="7" bestFit="1" customWidth="1"/>
    <col min="4" max="4" width="12.5703125" bestFit="1" customWidth="1"/>
    <col min="5" max="5" width="12" bestFit="1" customWidth="1"/>
    <col min="6" max="6" width="1.85546875" bestFit="1" customWidth="1"/>
    <col min="7" max="7" width="10" bestFit="1" customWidth="1"/>
    <col min="8" max="8" width="1.85546875" bestFit="1" customWidth="1"/>
    <col min="9" max="9" width="8.5703125" bestFit="1" customWidth="1"/>
    <col min="10" max="10" width="1.85546875" bestFit="1" customWidth="1"/>
    <col min="11" max="11" width="10.7109375" bestFit="1" customWidth="1"/>
    <col min="12" max="13" width="12" bestFit="1" customWidth="1"/>
    <col min="14" max="14" width="1.85546875" bestFit="1" customWidth="1"/>
    <col min="15" max="15" width="10" bestFit="1" customWidth="1"/>
    <col min="16" max="16" width="1.85546875" bestFit="1" customWidth="1"/>
    <col min="17" max="17" width="9" bestFit="1" customWidth="1"/>
    <col min="18" max="18" width="1.85546875" bestFit="1" customWidth="1"/>
    <col min="19" max="19" width="10.140625" bestFit="1" customWidth="1"/>
    <col min="20" max="21" width="12" bestFit="1" customWidth="1"/>
    <col min="22" max="22" width="1.85546875" bestFit="1" customWidth="1"/>
    <col min="23" max="23" width="10" bestFit="1" customWidth="1"/>
    <col min="24" max="24" width="1.85546875" bestFit="1" customWidth="1"/>
    <col min="25" max="25" width="8.5703125" bestFit="1" customWidth="1"/>
    <col min="26" max="26" width="1.85546875" bestFit="1" customWidth="1"/>
    <col min="27" max="27" width="11.140625" bestFit="1" customWidth="1"/>
    <col min="28" max="29" width="12" bestFit="1" customWidth="1"/>
    <col min="30" max="30" width="1.85546875" bestFit="1" customWidth="1"/>
    <col min="31" max="31" width="9" bestFit="1" customWidth="1"/>
    <col min="32" max="32" width="1.85546875" bestFit="1" customWidth="1"/>
    <col min="33" max="33" width="9" bestFit="1" customWidth="1"/>
    <col min="34" max="34" width="1.85546875" bestFit="1" customWidth="1"/>
    <col min="35" max="35" width="10.140625" bestFit="1" customWidth="1"/>
    <col min="36" max="37" width="12" bestFit="1" customWidth="1"/>
    <col min="38" max="38" width="1.85546875" bestFit="1" customWidth="1"/>
    <col min="39" max="39" width="10" bestFit="1" customWidth="1"/>
    <col min="40" max="40" width="1.85546875" bestFit="1" customWidth="1"/>
    <col min="41" max="41" width="9" bestFit="1" customWidth="1"/>
    <col min="42" max="42" width="1.85546875" bestFit="1" customWidth="1"/>
    <col min="43" max="43" width="9.140625" bestFit="1" customWidth="1"/>
    <col min="44" max="45" width="12" bestFit="1" customWidth="1"/>
    <col min="46" max="46" width="1.85546875" bestFit="1" customWidth="1"/>
    <col min="47" max="47" width="9" bestFit="1" customWidth="1"/>
    <col min="48" max="48" width="1.85546875" bestFit="1" customWidth="1"/>
    <col min="49" max="49" width="9" bestFit="1" customWidth="1"/>
    <col min="50" max="50" width="1.85546875" bestFit="1" customWidth="1"/>
    <col min="51" max="51" width="10.140625" bestFit="1" customWidth="1"/>
    <col min="52" max="53" width="12" bestFit="1" customWidth="1"/>
    <col min="54" max="54" width="1.85546875" bestFit="1" customWidth="1"/>
    <col min="55" max="55" width="9" bestFit="1" customWidth="1"/>
    <col min="56" max="56" width="1.85546875" bestFit="1" customWidth="1"/>
    <col min="57" max="57" width="9" bestFit="1" customWidth="1"/>
    <col min="58" max="58" width="1.85546875" bestFit="1" customWidth="1"/>
    <col min="59" max="59" width="10.140625" bestFit="1" customWidth="1"/>
    <col min="60" max="61" width="12" bestFit="1" customWidth="1"/>
    <col min="62" max="62" width="1.85546875" bestFit="1" customWidth="1"/>
    <col min="63" max="63" width="10" bestFit="1" customWidth="1"/>
    <col min="64" max="64" width="1.85546875" bestFit="1" customWidth="1"/>
    <col min="65" max="65" width="9" bestFit="1" customWidth="1"/>
    <col min="66" max="66" width="1.85546875" bestFit="1" customWidth="1"/>
    <col min="67" max="67" width="11.140625" bestFit="1" customWidth="1"/>
    <col min="68" max="69" width="12" bestFit="1" customWidth="1"/>
    <col min="70" max="70" width="1.85546875" bestFit="1" customWidth="1"/>
    <col min="71" max="71" width="10" bestFit="1" customWidth="1"/>
    <col min="72" max="72" width="1.85546875" bestFit="1" customWidth="1"/>
    <col min="73" max="73" width="10" bestFit="1" customWidth="1"/>
    <col min="74" max="74" width="1.85546875" bestFit="1" customWidth="1"/>
    <col min="75" max="75" width="11.7109375" bestFit="1" customWidth="1"/>
    <col min="76" max="77" width="12" bestFit="1" customWidth="1"/>
    <col min="78" max="78" width="1.85546875" bestFit="1" customWidth="1"/>
    <col min="79" max="79" width="9" bestFit="1" customWidth="1"/>
    <col min="80" max="80" width="1.85546875" bestFit="1" customWidth="1"/>
    <col min="81" max="81" width="10" bestFit="1" customWidth="1"/>
    <col min="82" max="82" width="1.85546875" bestFit="1" customWidth="1"/>
    <col min="83" max="83" width="10.7109375" bestFit="1" customWidth="1"/>
    <col min="84" max="85" width="12" bestFit="1" customWidth="1"/>
    <col min="86" max="86" width="1.85546875" bestFit="1" customWidth="1"/>
    <col min="87" max="87" width="10" bestFit="1" customWidth="1"/>
    <col min="88" max="88" width="1.85546875" bestFit="1" customWidth="1"/>
    <col min="89" max="89" width="9" bestFit="1" customWidth="1"/>
    <col min="90" max="90" width="1.85546875" bestFit="1" customWidth="1"/>
    <col min="91" max="91" width="10.7109375" bestFit="1" customWidth="1"/>
    <col min="92" max="93" width="12" bestFit="1" customWidth="1"/>
    <col min="94" max="94" width="1.85546875" bestFit="1" customWidth="1"/>
    <col min="95" max="95" width="10" bestFit="1" customWidth="1"/>
    <col min="96" max="96" width="1.85546875" bestFit="1" customWidth="1"/>
    <col min="97" max="97" width="9" bestFit="1" customWidth="1"/>
    <col min="98" max="98" width="1.85546875" bestFit="1" customWidth="1"/>
    <col min="99" max="99" width="11.7109375" bestFit="1" customWidth="1"/>
    <col min="100" max="101" width="12" bestFit="1" customWidth="1"/>
    <col min="102" max="102" width="1.85546875" bestFit="1" customWidth="1"/>
    <col min="103" max="103" width="10" bestFit="1" customWidth="1"/>
    <col min="104" max="104" width="1.85546875" bestFit="1" customWidth="1"/>
    <col min="105" max="105" width="9" bestFit="1" customWidth="1"/>
    <col min="106" max="106" width="1.85546875" bestFit="1" customWidth="1"/>
    <col min="107" max="107" width="10.7109375" bestFit="1" customWidth="1"/>
    <col min="108" max="109" width="12" bestFit="1" customWidth="1"/>
    <col min="110" max="110" width="1.85546875" bestFit="1" customWidth="1"/>
    <col min="111" max="111" width="11" bestFit="1" customWidth="1"/>
    <col min="112" max="112" width="1.85546875" bestFit="1" customWidth="1"/>
    <col min="113" max="113" width="9" bestFit="1" customWidth="1"/>
    <col min="114" max="114" width="1.85546875" bestFit="1" customWidth="1"/>
    <col min="115" max="115" width="10.7109375" bestFit="1" customWidth="1"/>
    <col min="116" max="117" width="12" bestFit="1" customWidth="1"/>
    <col min="118" max="118" width="1.85546875" bestFit="1" customWidth="1"/>
    <col min="119" max="119" width="10.5703125" bestFit="1" customWidth="1"/>
    <col min="120" max="120" width="1.85546875" bestFit="1" customWidth="1"/>
    <col min="121" max="121" width="9" bestFit="1" customWidth="1"/>
    <col min="122" max="122" width="1.85546875" bestFit="1" customWidth="1"/>
    <col min="123" max="123" width="11.7109375" bestFit="1" customWidth="1"/>
    <col min="124" max="125" width="12" bestFit="1" customWidth="1"/>
    <col min="126" max="126" width="1.85546875" bestFit="1" customWidth="1"/>
    <col min="127" max="127" width="9.5703125" bestFit="1" customWidth="1"/>
    <col min="128" max="128" width="1.85546875" bestFit="1" customWidth="1"/>
    <col min="129" max="129" width="8" bestFit="1" customWidth="1"/>
    <col min="130" max="130" width="1.85546875" bestFit="1" customWidth="1"/>
    <col min="131" max="131" width="11.140625" bestFit="1" customWidth="1"/>
    <col min="132" max="133" width="12" bestFit="1" customWidth="1"/>
    <col min="134" max="134" width="1.85546875" bestFit="1" customWidth="1"/>
    <col min="135" max="135" width="10.5703125" bestFit="1" customWidth="1"/>
    <col min="136" max="136" width="1.85546875" bestFit="1" customWidth="1"/>
    <col min="137" max="137" width="8" bestFit="1" customWidth="1"/>
    <col min="138" max="138" width="1.85546875" bestFit="1" customWidth="1"/>
    <col min="139" max="139" width="11.140625" bestFit="1" customWidth="1"/>
    <col min="140" max="141" width="12" bestFit="1" customWidth="1"/>
    <col min="142" max="142" width="1.85546875" bestFit="1" customWidth="1"/>
    <col min="143" max="143" width="10.5703125" bestFit="1" customWidth="1"/>
    <col min="144" max="144" width="1.85546875" bestFit="1" customWidth="1"/>
    <col min="145" max="145" width="9" bestFit="1" customWidth="1"/>
    <col min="146" max="146" width="1.85546875" bestFit="1" customWidth="1"/>
    <col min="147" max="147" width="10.140625" bestFit="1" customWidth="1"/>
    <col min="148" max="149" width="12" bestFit="1" customWidth="1"/>
    <col min="150" max="150" width="1.85546875" bestFit="1" customWidth="1"/>
    <col min="151" max="151" width="10.5703125" bestFit="1" customWidth="1"/>
    <col min="152" max="152" width="1.85546875" bestFit="1" customWidth="1"/>
    <col min="153" max="153" width="9" bestFit="1" customWidth="1"/>
    <col min="154" max="154" width="1.85546875" bestFit="1" customWidth="1"/>
    <col min="155" max="155" width="10.140625" bestFit="1" customWidth="1"/>
    <col min="156" max="157" width="12" bestFit="1" customWidth="1"/>
    <col min="158" max="158" width="1.85546875" bestFit="1" customWidth="1"/>
    <col min="159" max="159" width="10.5703125" bestFit="1" customWidth="1"/>
    <col min="160" max="160" width="1.85546875" bestFit="1" customWidth="1"/>
    <col min="161" max="161" width="9" bestFit="1" customWidth="1"/>
    <col min="162" max="162" width="1.85546875" bestFit="1" customWidth="1"/>
    <col min="163" max="163" width="11.140625" bestFit="1" customWidth="1"/>
    <col min="164" max="165" width="12" bestFit="1" customWidth="1"/>
    <col min="166" max="166" width="1.85546875" bestFit="1" customWidth="1"/>
    <col min="167" max="167" width="9.5703125" bestFit="1" customWidth="1"/>
    <col min="168" max="168" width="1.85546875" bestFit="1" customWidth="1"/>
    <col min="169" max="169" width="9" bestFit="1" customWidth="1"/>
    <col min="170" max="170" width="1.85546875" bestFit="1" customWidth="1"/>
    <col min="171" max="171" width="12.7109375" bestFit="1" customWidth="1"/>
    <col min="172" max="173" width="12" bestFit="1" customWidth="1"/>
    <col min="174" max="174" width="1.85546875" bestFit="1" customWidth="1"/>
    <col min="175" max="175" width="9.5703125" bestFit="1" customWidth="1"/>
    <col min="176" max="176" width="1.85546875" bestFit="1" customWidth="1"/>
    <col min="177" max="177" width="10" bestFit="1" customWidth="1"/>
    <col min="178" max="178" width="1.85546875" bestFit="1" customWidth="1"/>
    <col min="179" max="179" width="10.140625" bestFit="1" customWidth="1"/>
    <col min="180" max="181" width="12" bestFit="1" customWidth="1"/>
    <col min="182" max="182" width="1.85546875" bestFit="1" customWidth="1"/>
    <col min="183" max="183" width="10.5703125" bestFit="1" customWidth="1"/>
    <col min="184" max="184" width="1.85546875" bestFit="1" customWidth="1"/>
    <col min="185" max="185" width="10" bestFit="1" customWidth="1"/>
    <col min="186" max="186" width="1.85546875" bestFit="1" customWidth="1"/>
    <col min="187" max="187" width="10.140625" bestFit="1" customWidth="1"/>
    <col min="188" max="189" width="12" bestFit="1" customWidth="1"/>
    <col min="190" max="190" width="1.85546875" bestFit="1" customWidth="1"/>
    <col min="191" max="191" width="10.5703125" bestFit="1" customWidth="1"/>
    <col min="192" max="192" width="1.85546875" bestFit="1" customWidth="1"/>
    <col min="193" max="193" width="9" bestFit="1" customWidth="1"/>
    <col min="194" max="194" width="1.85546875" bestFit="1" customWidth="1"/>
    <col min="195" max="195" width="10.140625" bestFit="1" customWidth="1"/>
    <col min="196" max="197" width="12" bestFit="1" customWidth="1"/>
    <col min="198" max="198" width="1.85546875" bestFit="1" customWidth="1"/>
    <col min="199" max="199" width="9.5703125" bestFit="1" customWidth="1"/>
    <col min="200" max="200" width="1.85546875" bestFit="1" customWidth="1"/>
    <col min="201" max="201" width="10" bestFit="1" customWidth="1"/>
    <col min="202" max="202" width="1.85546875" bestFit="1" customWidth="1"/>
    <col min="203" max="203" width="10.140625" bestFit="1" customWidth="1"/>
    <col min="204" max="205" width="12" bestFit="1" customWidth="1"/>
    <col min="206" max="206" width="1.85546875" bestFit="1" customWidth="1"/>
    <col min="207" max="207" width="9.5703125" bestFit="1" customWidth="1"/>
    <col min="208" max="208" width="1.85546875" bestFit="1" customWidth="1"/>
    <col min="209" max="209" width="9" bestFit="1" customWidth="1"/>
    <col min="210" max="210" width="1.85546875" bestFit="1" customWidth="1"/>
    <col min="211" max="211" width="10.140625" bestFit="1" customWidth="1"/>
    <col min="212" max="213" width="12" bestFit="1" customWidth="1"/>
    <col min="214" max="214" width="1.85546875" bestFit="1" customWidth="1"/>
    <col min="215" max="215" width="10.5703125" bestFit="1" customWidth="1"/>
    <col min="216" max="216" width="1.85546875" bestFit="1" customWidth="1"/>
    <col min="217" max="217" width="9" bestFit="1" customWidth="1"/>
    <col min="218" max="218" width="1.85546875" bestFit="1" customWidth="1"/>
    <col min="219" max="219" width="10.140625" bestFit="1" customWidth="1"/>
    <col min="220" max="221" width="12" bestFit="1" customWidth="1"/>
    <col min="222" max="222" width="1.85546875" bestFit="1" customWidth="1"/>
    <col min="223" max="223" width="9.5703125" bestFit="1" customWidth="1"/>
    <col min="224" max="224" width="1.85546875" bestFit="1" customWidth="1"/>
    <col min="225" max="225" width="10" bestFit="1" customWidth="1"/>
    <col min="226" max="226" width="1.85546875" bestFit="1" customWidth="1"/>
    <col min="227" max="227" width="10.140625" bestFit="1" customWidth="1"/>
    <col min="228" max="229" width="12" bestFit="1" customWidth="1"/>
    <col min="230" max="230" width="1.85546875" bestFit="1" customWidth="1"/>
    <col min="231" max="231" width="10.5703125" bestFit="1" customWidth="1"/>
    <col min="232" max="232" width="1.85546875" bestFit="1" customWidth="1"/>
    <col min="233" max="233" width="9" bestFit="1" customWidth="1"/>
    <col min="234" max="234" width="1.85546875" bestFit="1" customWidth="1"/>
    <col min="235" max="235" width="9.140625" bestFit="1" customWidth="1"/>
    <col min="236" max="237" width="12" bestFit="1" customWidth="1"/>
    <col min="238" max="238" width="1.85546875" bestFit="1" customWidth="1"/>
    <col min="239" max="239" width="11.5703125" bestFit="1" customWidth="1"/>
    <col min="240" max="240" width="1.85546875" bestFit="1" customWidth="1"/>
    <col min="241" max="241" width="10" bestFit="1" customWidth="1"/>
    <col min="242" max="242" width="1.85546875" bestFit="1" customWidth="1"/>
    <col min="243" max="243" width="10.140625" bestFit="1" customWidth="1"/>
    <col min="244" max="245" width="12" bestFit="1" customWidth="1"/>
    <col min="246" max="246" width="1.85546875" bestFit="1" customWidth="1"/>
    <col min="247" max="247" width="10" bestFit="1" customWidth="1"/>
    <col min="248" max="248" width="1.85546875" bestFit="1" customWidth="1"/>
    <col min="249" max="249" width="9" bestFit="1" customWidth="1"/>
    <col min="250" max="250" width="1.85546875" bestFit="1" customWidth="1"/>
    <col min="251" max="251" width="10.140625" bestFit="1" customWidth="1"/>
    <col min="252" max="253" width="12" bestFit="1" customWidth="1"/>
    <col min="254" max="254" width="1.85546875" bestFit="1" customWidth="1"/>
    <col min="255" max="255" width="8" bestFit="1" customWidth="1"/>
    <col min="256" max="256" width="1.85546875" bestFit="1" customWidth="1"/>
    <col min="257" max="257" width="9" bestFit="1" customWidth="1"/>
    <col min="258" max="258" width="1.85546875" bestFit="1" customWidth="1"/>
    <col min="259" max="259" width="9.140625" bestFit="1" customWidth="1"/>
    <col min="260" max="261" width="12" bestFit="1" customWidth="1"/>
    <col min="262" max="262" width="1.85546875" bestFit="1" customWidth="1"/>
    <col min="263" max="263" width="10" bestFit="1" customWidth="1"/>
    <col min="264" max="264" width="1.85546875" bestFit="1" customWidth="1"/>
    <col min="265" max="265" width="9" bestFit="1" customWidth="1"/>
    <col min="266" max="266" width="1.85546875" bestFit="1" customWidth="1"/>
    <col min="267" max="267" width="10.140625" bestFit="1" customWidth="1"/>
    <col min="268" max="269" width="12" bestFit="1" customWidth="1"/>
    <col min="270" max="270" width="1.85546875" bestFit="1" customWidth="1"/>
    <col min="271" max="271" width="10" bestFit="1" customWidth="1"/>
    <col min="272" max="272" width="1.85546875" bestFit="1" customWidth="1"/>
    <col min="273" max="273" width="9" bestFit="1" customWidth="1"/>
    <col min="274" max="274" width="1.85546875" bestFit="1" customWidth="1"/>
    <col min="275" max="275" width="10.140625" bestFit="1" customWidth="1"/>
    <col min="276" max="277" width="12" bestFit="1" customWidth="1"/>
    <col min="278" max="278" width="1.85546875" bestFit="1" customWidth="1"/>
    <col min="279" max="279" width="10" bestFit="1" customWidth="1"/>
    <col min="280" max="280" width="1.85546875" bestFit="1" customWidth="1"/>
    <col min="281" max="281" width="9" bestFit="1" customWidth="1"/>
    <col min="282" max="282" width="1.85546875" bestFit="1" customWidth="1"/>
    <col min="283" max="283" width="10.140625" bestFit="1" customWidth="1"/>
    <col min="284" max="285" width="12" bestFit="1" customWidth="1"/>
    <col min="286" max="286" width="1.85546875" bestFit="1" customWidth="1"/>
    <col min="287" max="287" width="9" bestFit="1" customWidth="1"/>
    <col min="288" max="288" width="1.85546875" bestFit="1" customWidth="1"/>
    <col min="289" max="289" width="9" bestFit="1" customWidth="1"/>
    <col min="290" max="290" width="1.85546875" bestFit="1" customWidth="1"/>
    <col min="291" max="291" width="10.140625" bestFit="1" customWidth="1"/>
    <col min="292" max="293" width="12" bestFit="1" customWidth="1"/>
    <col min="294" max="294" width="1.85546875" bestFit="1" customWidth="1"/>
    <col min="295" max="295" width="10" bestFit="1" customWidth="1"/>
    <col min="296" max="296" width="1.85546875" bestFit="1" customWidth="1"/>
    <col min="297" max="297" width="9" bestFit="1" customWidth="1"/>
    <col min="298" max="298" width="1.85546875" bestFit="1" customWidth="1"/>
    <col min="299" max="299" width="10.140625" bestFit="1" customWidth="1"/>
    <col min="300" max="301" width="12" bestFit="1" customWidth="1"/>
    <col min="302" max="302" width="1.85546875" bestFit="1" customWidth="1"/>
    <col min="303" max="303" width="10" bestFit="1" customWidth="1"/>
    <col min="304" max="304" width="1.85546875" bestFit="1" customWidth="1"/>
    <col min="305" max="305" width="9" bestFit="1" customWidth="1"/>
    <col min="306" max="306" width="1.85546875" bestFit="1" customWidth="1"/>
    <col min="307" max="307" width="11.28515625" bestFit="1" customWidth="1"/>
    <col min="308" max="309" width="12" bestFit="1" customWidth="1"/>
    <col min="310" max="310" width="1.85546875" bestFit="1" customWidth="1"/>
    <col min="311" max="311" width="10" bestFit="1" customWidth="1"/>
    <col min="312" max="312" width="1.85546875" bestFit="1" customWidth="1"/>
    <col min="313" max="313" width="9" bestFit="1" customWidth="1"/>
    <col min="314" max="314" width="1.85546875" bestFit="1" customWidth="1"/>
    <col min="315" max="315" width="11.140625" bestFit="1" customWidth="1"/>
    <col min="316" max="317" width="12" bestFit="1" customWidth="1"/>
    <col min="318" max="318" width="1.85546875" bestFit="1" customWidth="1"/>
    <col min="319" max="319" width="11" bestFit="1" customWidth="1"/>
    <col min="320" max="320" width="1.85546875" bestFit="1" customWidth="1"/>
    <col min="321" max="321" width="9" bestFit="1" customWidth="1"/>
    <col min="322" max="322" width="1.85546875" bestFit="1" customWidth="1"/>
    <col min="323" max="323" width="11.140625" bestFit="1" customWidth="1"/>
    <col min="324" max="325" width="12" bestFit="1" customWidth="1"/>
    <col min="326" max="326" width="1.85546875" bestFit="1" customWidth="1"/>
    <col min="327" max="327" width="10" bestFit="1" customWidth="1"/>
    <col min="328" max="328" width="1.85546875" bestFit="1" customWidth="1"/>
    <col min="329" max="329" width="7" bestFit="1" customWidth="1"/>
    <col min="330" max="330" width="1.85546875" bestFit="1" customWidth="1"/>
    <col min="331" max="331" width="12.28515625" bestFit="1" customWidth="1"/>
  </cols>
  <sheetData>
    <row r="1" spans="1:307" x14ac:dyDescent="0.25">
      <c r="A1" t="s">
        <v>0</v>
      </c>
      <c r="B1" t="s">
        <v>1</v>
      </c>
      <c r="C1" t="s">
        <v>2</v>
      </c>
      <c r="D1" t="s">
        <v>3</v>
      </c>
      <c r="E1">
        <v>1679074236011</v>
      </c>
      <c r="F1" t="s">
        <v>4</v>
      </c>
      <c r="G1">
        <v>1.2251251999999999</v>
      </c>
      <c r="H1" t="s">
        <v>5</v>
      </c>
      <c r="I1" s="3">
        <v>9.7507520000000003</v>
      </c>
      <c r="J1" t="s">
        <v>6</v>
      </c>
      <c r="K1" t="s">
        <v>11</v>
      </c>
      <c r="L1" t="s">
        <v>7</v>
      </c>
      <c r="M1">
        <v>1679074236303</v>
      </c>
      <c r="N1" t="s">
        <v>4</v>
      </c>
      <c r="O1">
        <v>1.2215358999999999</v>
      </c>
      <c r="P1" t="s">
        <v>5</v>
      </c>
      <c r="Q1">
        <v>9.3553379999999997</v>
      </c>
      <c r="R1" t="s">
        <v>6</v>
      </c>
      <c r="S1" t="s">
        <v>12</v>
      </c>
      <c r="T1" t="s">
        <v>7</v>
      </c>
      <c r="U1">
        <v>1679074236650</v>
      </c>
      <c r="V1" t="s">
        <v>4</v>
      </c>
      <c r="W1">
        <v>1.8311075000000001</v>
      </c>
      <c r="X1" t="s">
        <v>5</v>
      </c>
      <c r="Y1" s="3">
        <v>9.8464650000000002</v>
      </c>
      <c r="Z1" t="s">
        <v>6</v>
      </c>
      <c r="AA1" t="s">
        <v>13</v>
      </c>
      <c r="AB1" t="s">
        <v>7</v>
      </c>
      <c r="AC1">
        <v>1679074236960</v>
      </c>
      <c r="AD1" t="s">
        <v>4</v>
      </c>
      <c r="AE1">
        <v>3.370889</v>
      </c>
      <c r="AF1" t="s">
        <v>5</v>
      </c>
      <c r="AG1">
        <v>9.0957170000000005</v>
      </c>
      <c r="AH1" t="s">
        <v>6</v>
      </c>
      <c r="AI1" t="s">
        <v>14</v>
      </c>
      <c r="AJ1" t="s">
        <v>7</v>
      </c>
      <c r="AK1">
        <v>1679074237252</v>
      </c>
      <c r="AL1" t="s">
        <v>4</v>
      </c>
      <c r="AM1">
        <v>4.7982078000000001</v>
      </c>
      <c r="AN1" t="s">
        <v>5</v>
      </c>
      <c r="AO1">
        <v>8.8773719999999994</v>
      </c>
      <c r="AP1" t="s">
        <v>6</v>
      </c>
      <c r="AQ1" t="s">
        <v>15</v>
      </c>
      <c r="AR1" t="s">
        <v>7</v>
      </c>
      <c r="AS1">
        <v>1679074237542</v>
      </c>
      <c r="AT1" t="s">
        <v>4</v>
      </c>
      <c r="AU1">
        <v>4.8831530000000001</v>
      </c>
      <c r="AV1" t="s">
        <v>5</v>
      </c>
      <c r="AW1">
        <v>8.834301</v>
      </c>
      <c r="AX1" t="s">
        <v>6</v>
      </c>
      <c r="AY1" t="s">
        <v>16</v>
      </c>
      <c r="AZ1" t="s">
        <v>7</v>
      </c>
      <c r="BA1">
        <v>1679074237833</v>
      </c>
      <c r="BB1" t="s">
        <v>4</v>
      </c>
      <c r="BC1">
        <v>4.0337009999999998</v>
      </c>
      <c r="BD1" t="s">
        <v>5</v>
      </c>
      <c r="BE1">
        <v>8.8049890000000008</v>
      </c>
      <c r="BF1" t="s">
        <v>6</v>
      </c>
      <c r="BG1" t="s">
        <v>17</v>
      </c>
      <c r="BH1" t="s">
        <v>7</v>
      </c>
      <c r="BI1">
        <v>1679074238124</v>
      </c>
      <c r="BJ1" t="s">
        <v>4</v>
      </c>
      <c r="BK1">
        <v>4.1898327000000002</v>
      </c>
      <c r="BL1" t="s">
        <v>5</v>
      </c>
      <c r="BM1">
        <v>9.6634139999999995</v>
      </c>
      <c r="BN1" t="s">
        <v>6</v>
      </c>
      <c r="BO1" t="s">
        <v>18</v>
      </c>
      <c r="BP1" t="s">
        <v>7</v>
      </c>
      <c r="BQ1">
        <v>1679074238418</v>
      </c>
      <c r="BR1" t="s">
        <v>4</v>
      </c>
      <c r="BS1">
        <v>3.6466618</v>
      </c>
      <c r="BT1" t="s">
        <v>5</v>
      </c>
      <c r="BU1">
        <v>8.2253275000000006</v>
      </c>
      <c r="BV1" t="s">
        <v>6</v>
      </c>
      <c r="BW1" t="s">
        <v>19</v>
      </c>
      <c r="BX1" t="s">
        <v>7</v>
      </c>
      <c r="BY1">
        <v>1679074238708</v>
      </c>
      <c r="BZ1" t="s">
        <v>4</v>
      </c>
      <c r="CA1">
        <v>5.221139</v>
      </c>
      <c r="CB1" t="s">
        <v>5</v>
      </c>
      <c r="CC1">
        <v>9.6173525000000009</v>
      </c>
      <c r="CD1" t="s">
        <v>6</v>
      </c>
      <c r="CE1" t="s">
        <v>20</v>
      </c>
      <c r="CF1" t="s">
        <v>7</v>
      </c>
      <c r="CG1">
        <v>1679074239000</v>
      </c>
      <c r="CH1" t="s">
        <v>4</v>
      </c>
      <c r="CI1">
        <v>1.3154542</v>
      </c>
      <c r="CJ1" t="s">
        <v>5</v>
      </c>
      <c r="CK1">
        <v>8.8737829999999995</v>
      </c>
      <c r="CL1" t="s">
        <v>6</v>
      </c>
      <c r="CM1" t="s">
        <v>21</v>
      </c>
      <c r="CN1" t="s">
        <v>7</v>
      </c>
      <c r="CO1">
        <v>1679074239327</v>
      </c>
      <c r="CP1" t="s">
        <v>4</v>
      </c>
      <c r="CQ1">
        <v>2.8570302000000001</v>
      </c>
      <c r="CR1" t="s">
        <v>5</v>
      </c>
      <c r="CS1">
        <v>9.7872430000000001</v>
      </c>
      <c r="CT1" t="s">
        <v>6</v>
      </c>
      <c r="CU1" t="s">
        <v>22</v>
      </c>
      <c r="CV1" t="s">
        <v>7</v>
      </c>
      <c r="CW1">
        <v>1679074239637</v>
      </c>
      <c r="CX1" t="s">
        <v>4</v>
      </c>
      <c r="CY1">
        <v>1.3549358</v>
      </c>
      <c r="CZ1" t="s">
        <v>5</v>
      </c>
      <c r="DA1">
        <v>9.6711910000000003</v>
      </c>
      <c r="DB1" t="s">
        <v>6</v>
      </c>
      <c r="DC1" t="s">
        <v>23</v>
      </c>
      <c r="DD1" t="s">
        <v>7</v>
      </c>
      <c r="DE1">
        <v>1679074239927</v>
      </c>
      <c r="DF1" t="s">
        <v>4</v>
      </c>
      <c r="DG1">
        <v>0.69212395000000004</v>
      </c>
      <c r="DH1" t="s">
        <v>5</v>
      </c>
      <c r="DI1">
        <v>9.8195460000000008</v>
      </c>
      <c r="DJ1" t="s">
        <v>6</v>
      </c>
      <c r="DK1" t="s">
        <v>24</v>
      </c>
      <c r="DL1" t="s">
        <v>7</v>
      </c>
      <c r="DM1">
        <v>1679074240220</v>
      </c>
      <c r="DN1" t="s">
        <v>4</v>
      </c>
      <c r="DO1">
        <v>-1.4943177999999999</v>
      </c>
      <c r="DP1" t="s">
        <v>5</v>
      </c>
      <c r="DQ1">
        <v>9.2721879999999999</v>
      </c>
      <c r="DR1" t="s">
        <v>6</v>
      </c>
      <c r="DS1" t="s">
        <v>25</v>
      </c>
      <c r="DT1" t="s">
        <v>7</v>
      </c>
      <c r="DU1">
        <v>1679074240510</v>
      </c>
      <c r="DV1" t="s">
        <v>4</v>
      </c>
      <c r="DW1">
        <v>-2.3563320000000001</v>
      </c>
      <c r="DX1" t="s">
        <v>5</v>
      </c>
      <c r="DY1">
        <v>9.1148600000000002</v>
      </c>
      <c r="DZ1" t="s">
        <v>6</v>
      </c>
      <c r="EA1" t="s">
        <v>26</v>
      </c>
      <c r="EB1" t="s">
        <v>7</v>
      </c>
      <c r="EC1">
        <v>1679074240801</v>
      </c>
      <c r="ED1" t="s">
        <v>4</v>
      </c>
      <c r="EE1">
        <v>-3.2949169</v>
      </c>
      <c r="EF1" t="s">
        <v>5</v>
      </c>
      <c r="EG1">
        <v>8.8181499999999993</v>
      </c>
      <c r="EH1" t="s">
        <v>6</v>
      </c>
      <c r="EI1" t="s">
        <v>27</v>
      </c>
      <c r="EJ1" t="s">
        <v>7</v>
      </c>
      <c r="EK1">
        <v>1679074241094</v>
      </c>
      <c r="EL1" t="s">
        <v>4</v>
      </c>
      <c r="EM1">
        <v>-4.2394834000000001</v>
      </c>
      <c r="EN1" t="s">
        <v>5</v>
      </c>
      <c r="EO1">
        <v>8.6189470000000004</v>
      </c>
      <c r="EP1" t="s">
        <v>6</v>
      </c>
      <c r="EQ1" t="s">
        <v>28</v>
      </c>
      <c r="ER1" t="s">
        <v>7</v>
      </c>
      <c r="ES1">
        <v>1679074241385</v>
      </c>
      <c r="ET1" t="s">
        <v>4</v>
      </c>
      <c r="EU1">
        <v>-4.7156552999999999</v>
      </c>
      <c r="EV1" t="s">
        <v>5</v>
      </c>
      <c r="EW1">
        <v>8.2576309999999999</v>
      </c>
      <c r="EX1" t="s">
        <v>6</v>
      </c>
      <c r="EY1" t="s">
        <v>29</v>
      </c>
      <c r="EZ1" t="s">
        <v>7</v>
      </c>
      <c r="FA1">
        <v>1679074241676</v>
      </c>
      <c r="FB1" t="s">
        <v>4</v>
      </c>
      <c r="FC1">
        <v>-4.9028935000000002</v>
      </c>
      <c r="FD1" t="s">
        <v>5</v>
      </c>
      <c r="FE1">
        <v>8.1116689999999991</v>
      </c>
      <c r="FF1" t="s">
        <v>6</v>
      </c>
      <c r="FG1" t="s">
        <v>30</v>
      </c>
      <c r="FH1" t="s">
        <v>7</v>
      </c>
      <c r="FI1">
        <v>1679074241968</v>
      </c>
      <c r="FJ1" t="s">
        <v>4</v>
      </c>
      <c r="FK1">
        <v>-5.2989059999999997</v>
      </c>
      <c r="FL1" t="s">
        <v>5</v>
      </c>
      <c r="FM1">
        <v>8.2606219999999997</v>
      </c>
      <c r="FN1" t="s">
        <v>6</v>
      </c>
      <c r="FO1" t="s">
        <v>31</v>
      </c>
      <c r="FP1" t="s">
        <v>7</v>
      </c>
      <c r="FQ1">
        <v>1679074242259</v>
      </c>
      <c r="FR1" t="s">
        <v>4</v>
      </c>
      <c r="FS1">
        <v>-5.814559</v>
      </c>
      <c r="FT1" t="s">
        <v>5</v>
      </c>
      <c r="FU1">
        <v>7.4440713000000001</v>
      </c>
      <c r="FV1" t="s">
        <v>6</v>
      </c>
      <c r="FW1" t="s">
        <v>32</v>
      </c>
      <c r="FX1" t="s">
        <v>7</v>
      </c>
      <c r="FY1">
        <v>1679074242550</v>
      </c>
      <c r="FZ1" t="s">
        <v>4</v>
      </c>
      <c r="GA1">
        <v>-5.4173502999999998</v>
      </c>
      <c r="GB1" t="s">
        <v>5</v>
      </c>
      <c r="GC1">
        <v>7.9513496999999997</v>
      </c>
      <c r="GD1" t="s">
        <v>6</v>
      </c>
      <c r="GE1" t="s">
        <v>33</v>
      </c>
      <c r="GF1" t="s">
        <v>7</v>
      </c>
      <c r="GG1">
        <v>1679074242842</v>
      </c>
      <c r="GH1" t="s">
        <v>4</v>
      </c>
      <c r="GI1">
        <v>-5.5926247</v>
      </c>
      <c r="GJ1" t="s">
        <v>5</v>
      </c>
      <c r="GK1">
        <v>7.7228349999999999</v>
      </c>
      <c r="GL1" t="s">
        <v>6</v>
      </c>
      <c r="GM1" t="s">
        <v>34</v>
      </c>
      <c r="GN1" t="s">
        <v>7</v>
      </c>
      <c r="GO1">
        <v>1679074243133</v>
      </c>
      <c r="GP1" t="s">
        <v>4</v>
      </c>
      <c r="GQ1">
        <v>-5.2061840000000004</v>
      </c>
      <c r="GR1" t="s">
        <v>5</v>
      </c>
      <c r="GS1">
        <v>7.2496543000000004</v>
      </c>
      <c r="GT1" t="s">
        <v>6</v>
      </c>
      <c r="GU1" t="s">
        <v>35</v>
      </c>
      <c r="GV1" t="s">
        <v>7</v>
      </c>
      <c r="GW1">
        <v>1679074243425</v>
      </c>
      <c r="GX1" t="s">
        <v>4</v>
      </c>
      <c r="GY1">
        <v>-4.5661040000000002</v>
      </c>
      <c r="GZ1" t="s">
        <v>5</v>
      </c>
      <c r="HA1">
        <v>7.8747790000000002</v>
      </c>
      <c r="HB1" t="s">
        <v>6</v>
      </c>
      <c r="HC1" t="s">
        <v>36</v>
      </c>
      <c r="HD1" t="s">
        <v>7</v>
      </c>
      <c r="HE1">
        <v>1679074243716</v>
      </c>
      <c r="HF1" t="s">
        <v>4</v>
      </c>
      <c r="HG1">
        <v>-3.3403803999999999</v>
      </c>
      <c r="HH1" t="s">
        <v>5</v>
      </c>
      <c r="HI1">
        <v>8.5483589999999996</v>
      </c>
      <c r="HJ1" t="s">
        <v>6</v>
      </c>
      <c r="HK1" t="s">
        <v>37</v>
      </c>
      <c r="HL1" t="s">
        <v>7</v>
      </c>
      <c r="HM1">
        <v>1679074244025</v>
      </c>
      <c r="HN1" t="s">
        <v>4</v>
      </c>
      <c r="HO1">
        <v>-3.546163</v>
      </c>
      <c r="HP1" t="s">
        <v>5</v>
      </c>
      <c r="HQ1">
        <v>7.9776707</v>
      </c>
      <c r="HR1" t="s">
        <v>6</v>
      </c>
      <c r="HS1" t="s">
        <v>38</v>
      </c>
      <c r="HT1" t="s">
        <v>7</v>
      </c>
      <c r="HU1">
        <v>1679074244298</v>
      </c>
      <c r="HV1" t="s">
        <v>4</v>
      </c>
      <c r="HW1">
        <v>-2.4191436999999998</v>
      </c>
      <c r="HX1" t="s">
        <v>5</v>
      </c>
      <c r="HY1">
        <v>8.6327060000000007</v>
      </c>
      <c r="HZ1" t="s">
        <v>6</v>
      </c>
      <c r="IA1" t="s">
        <v>39</v>
      </c>
      <c r="IB1" t="s">
        <v>7</v>
      </c>
      <c r="IC1">
        <v>1679074244590</v>
      </c>
      <c r="ID1" t="s">
        <v>4</v>
      </c>
      <c r="IE1">
        <v>-0.38165522000000002</v>
      </c>
      <c r="IF1" t="s">
        <v>5</v>
      </c>
      <c r="IG1">
        <v>9.5665045000000006</v>
      </c>
      <c r="IH1" t="s">
        <v>6</v>
      </c>
      <c r="II1" t="s">
        <v>40</v>
      </c>
      <c r="IJ1" t="s">
        <v>7</v>
      </c>
      <c r="IK1">
        <v>1679074244881</v>
      </c>
      <c r="IL1" t="s">
        <v>4</v>
      </c>
      <c r="IM1">
        <v>0.73220370000000001</v>
      </c>
      <c r="IN1" t="s">
        <v>5</v>
      </c>
      <c r="IO1">
        <v>9.4360959999999992</v>
      </c>
      <c r="IP1" t="s">
        <v>6</v>
      </c>
      <c r="IQ1" t="s">
        <v>41</v>
      </c>
      <c r="IR1" t="s">
        <v>7</v>
      </c>
      <c r="IS1">
        <v>1679074245172</v>
      </c>
      <c r="IT1" t="s">
        <v>4</v>
      </c>
      <c r="IU1">
        <v>1.4135599999999999</v>
      </c>
      <c r="IV1" t="s">
        <v>5</v>
      </c>
      <c r="IW1">
        <v>9.1734840000000002</v>
      </c>
      <c r="IX1" t="s">
        <v>6</v>
      </c>
      <c r="IY1" t="s">
        <v>42</v>
      </c>
      <c r="IZ1" t="s">
        <v>7</v>
      </c>
      <c r="JA1">
        <v>1679074245464</v>
      </c>
      <c r="JB1" t="s">
        <v>4</v>
      </c>
      <c r="JC1">
        <v>2.5040889000000002</v>
      </c>
      <c r="JD1" t="s">
        <v>5</v>
      </c>
      <c r="JE1">
        <v>9.1722870000000007</v>
      </c>
      <c r="JF1" t="s">
        <v>6</v>
      </c>
      <c r="JG1" t="s">
        <v>43</v>
      </c>
      <c r="JH1" t="s">
        <v>7</v>
      </c>
      <c r="JI1">
        <v>1679074245755</v>
      </c>
      <c r="JJ1" t="s">
        <v>4</v>
      </c>
      <c r="JK1">
        <v>2.1589242999999998</v>
      </c>
      <c r="JL1" t="s">
        <v>5</v>
      </c>
      <c r="JM1">
        <v>9.3379910000000006</v>
      </c>
      <c r="JN1" t="s">
        <v>6</v>
      </c>
      <c r="JO1" t="s">
        <v>44</v>
      </c>
      <c r="JP1" t="s">
        <v>7</v>
      </c>
      <c r="JQ1">
        <v>1679074246046</v>
      </c>
      <c r="JR1" t="s">
        <v>4</v>
      </c>
      <c r="JS1">
        <v>2.3509483000000002</v>
      </c>
      <c r="JT1" t="s">
        <v>5</v>
      </c>
      <c r="JU1">
        <v>9.272786</v>
      </c>
      <c r="JV1" t="s">
        <v>6</v>
      </c>
      <c r="JW1" t="s">
        <v>45</v>
      </c>
      <c r="JX1" t="s">
        <v>7</v>
      </c>
      <c r="JY1">
        <v>1679074246338</v>
      </c>
      <c r="JZ1" t="s">
        <v>4</v>
      </c>
      <c r="KA1">
        <v>2.6207389999999999</v>
      </c>
      <c r="KB1" t="s">
        <v>5</v>
      </c>
      <c r="KC1">
        <v>9.373882</v>
      </c>
      <c r="KD1" t="s">
        <v>6</v>
      </c>
      <c r="KE1" t="s">
        <v>46</v>
      </c>
      <c r="KF1" t="s">
        <v>7</v>
      </c>
      <c r="KG1">
        <v>1679074246630</v>
      </c>
      <c r="KH1" t="s">
        <v>4</v>
      </c>
      <c r="KI1">
        <v>2.6512475000000002</v>
      </c>
      <c r="KJ1" t="s">
        <v>5</v>
      </c>
      <c r="KK1">
        <v>9.3349989999999998</v>
      </c>
      <c r="KL1" t="s">
        <v>6</v>
      </c>
      <c r="KM1" t="s">
        <v>47</v>
      </c>
      <c r="KN1" t="s">
        <v>7</v>
      </c>
      <c r="KO1">
        <v>1679074246919</v>
      </c>
      <c r="KP1" t="s">
        <v>4</v>
      </c>
      <c r="KQ1">
        <v>2.6632115999999999</v>
      </c>
      <c r="KR1" t="s">
        <v>5</v>
      </c>
      <c r="KS1">
        <v>9.3290179999999996</v>
      </c>
      <c r="KT1" t="s">
        <v>6</v>
      </c>
      <c r="KU1" t="s">
        <v>48</v>
      </c>
    </row>
    <row r="2" spans="1:307" x14ac:dyDescent="0.25">
      <c r="A2">
        <v>292</v>
      </c>
      <c r="B2">
        <v>4.7982078000000001</v>
      </c>
      <c r="C2">
        <v>8.8773719999999994</v>
      </c>
      <c r="D2">
        <v>1.777269</v>
      </c>
    </row>
    <row r="3" spans="1:307" x14ac:dyDescent="0.25">
      <c r="A3">
        <v>290</v>
      </c>
      <c r="B3">
        <v>4.8831530000000001</v>
      </c>
      <c r="C3">
        <v>8.834301</v>
      </c>
      <c r="D3">
        <v>1.3064811000000001</v>
      </c>
    </row>
    <row r="4" spans="1:307" x14ac:dyDescent="0.25">
      <c r="A4">
        <v>291</v>
      </c>
      <c r="B4">
        <v>4.0337009999999998</v>
      </c>
      <c r="C4">
        <v>8.8049890000000008</v>
      </c>
      <c r="D4">
        <v>0.1692922</v>
      </c>
    </row>
    <row r="5" spans="1:307" x14ac:dyDescent="0.25">
      <c r="A5">
        <v>291</v>
      </c>
      <c r="B5">
        <v>4.1898327000000002</v>
      </c>
      <c r="C5">
        <v>9.6634139999999995</v>
      </c>
      <c r="D5">
        <v>0.48155555</v>
      </c>
    </row>
    <row r="6" spans="1:307" x14ac:dyDescent="0.25">
      <c r="A6">
        <v>294</v>
      </c>
      <c r="B6">
        <v>3.6466618</v>
      </c>
      <c r="C6">
        <v>8.2253275000000006</v>
      </c>
      <c r="D6">
        <v>-0.19860428999999999</v>
      </c>
    </row>
    <row r="7" spans="1:307" x14ac:dyDescent="0.25">
      <c r="A7">
        <v>290</v>
      </c>
      <c r="B7">
        <v>5.221139</v>
      </c>
      <c r="C7">
        <v>9.6173525000000009</v>
      </c>
      <c r="D7">
        <v>-1.0815558000000001</v>
      </c>
    </row>
    <row r="8" spans="1:307" x14ac:dyDescent="0.25">
      <c r="A8">
        <v>292</v>
      </c>
      <c r="B8">
        <v>1.3154542</v>
      </c>
      <c r="C8">
        <v>8.8737829999999995</v>
      </c>
      <c r="D8">
        <v>-1.1276177000000001</v>
      </c>
    </row>
    <row r="9" spans="1:307" x14ac:dyDescent="0.25">
      <c r="A9">
        <v>327</v>
      </c>
      <c r="B9">
        <v>2.8570302000000001</v>
      </c>
      <c r="C9">
        <v>9.7872430000000001</v>
      </c>
      <c r="D9">
        <v>-0.48993045000000002</v>
      </c>
    </row>
    <row r="10" spans="1:307" x14ac:dyDescent="0.25">
      <c r="A10">
        <v>310</v>
      </c>
      <c r="B10">
        <v>1.3549358</v>
      </c>
      <c r="C10">
        <v>9.6711910000000003</v>
      </c>
      <c r="D10">
        <v>-1.0091729</v>
      </c>
    </row>
    <row r="11" spans="1:307" x14ac:dyDescent="0.25">
      <c r="A11">
        <v>290</v>
      </c>
      <c r="B11">
        <v>0.69212395000000004</v>
      </c>
      <c r="C11">
        <v>9.8195460000000008</v>
      </c>
      <c r="D11">
        <v>-1.3776676999999999</v>
      </c>
    </row>
    <row r="12" spans="1:307" x14ac:dyDescent="0.25">
      <c r="A12">
        <v>293</v>
      </c>
      <c r="B12">
        <v>-1.4943177999999999</v>
      </c>
      <c r="C12">
        <v>9.2721879999999999</v>
      </c>
      <c r="D12">
        <v>-0.53659045999999999</v>
      </c>
    </row>
    <row r="13" spans="1:307" x14ac:dyDescent="0.25">
      <c r="A13">
        <v>290</v>
      </c>
      <c r="B13">
        <v>-2.3563320000000001</v>
      </c>
      <c r="C13">
        <v>9.1148600000000002</v>
      </c>
      <c r="D13">
        <v>0.18005990999999999</v>
      </c>
    </row>
    <row r="14" spans="1:307" x14ac:dyDescent="0.25">
      <c r="A14">
        <v>291</v>
      </c>
      <c r="B14">
        <v>-3.2949169</v>
      </c>
      <c r="C14">
        <v>8.8181499999999993</v>
      </c>
      <c r="D14">
        <v>0.11425728</v>
      </c>
    </row>
    <row r="15" spans="1:307" x14ac:dyDescent="0.25">
      <c r="A15">
        <v>293</v>
      </c>
      <c r="B15">
        <v>-4.2394834000000001</v>
      </c>
      <c r="C15">
        <v>8.6189470000000004</v>
      </c>
      <c r="D15">
        <v>0.74057859999999998</v>
      </c>
    </row>
    <row r="16" spans="1:307" x14ac:dyDescent="0.25">
      <c r="A16">
        <v>291</v>
      </c>
      <c r="B16">
        <v>-4.7156552999999999</v>
      </c>
      <c r="C16">
        <v>8.2576309999999999</v>
      </c>
      <c r="D16">
        <v>1.6151553000000001</v>
      </c>
    </row>
    <row r="17" spans="1:4" x14ac:dyDescent="0.25">
      <c r="A17">
        <v>291</v>
      </c>
      <c r="B17">
        <v>-4.9028935000000002</v>
      </c>
      <c r="C17">
        <v>8.1116689999999991</v>
      </c>
      <c r="D17">
        <v>0.60598236000000005</v>
      </c>
    </row>
    <row r="18" spans="1:4" x14ac:dyDescent="0.25">
      <c r="A18">
        <v>292</v>
      </c>
      <c r="B18">
        <v>-5.2989059999999997</v>
      </c>
      <c r="C18">
        <v>8.2606219999999997</v>
      </c>
      <c r="D18">
        <v>-8.4346994999999994E-2</v>
      </c>
    </row>
    <row r="19" spans="1:4" x14ac:dyDescent="0.25">
      <c r="A19">
        <v>291</v>
      </c>
      <c r="B19">
        <v>-5.814559</v>
      </c>
      <c r="C19">
        <v>7.4440713000000001</v>
      </c>
      <c r="D19">
        <v>2.1421744999999999</v>
      </c>
    </row>
    <row r="20" spans="1:4" x14ac:dyDescent="0.25">
      <c r="A20">
        <v>291</v>
      </c>
      <c r="B20">
        <v>-5.4173502999999998</v>
      </c>
      <c r="C20">
        <v>7.9513496999999997</v>
      </c>
      <c r="D20">
        <v>1.5361921999999999</v>
      </c>
    </row>
    <row r="21" spans="1:4" x14ac:dyDescent="0.25">
      <c r="A21">
        <v>292</v>
      </c>
      <c r="B21">
        <v>-5.5926247</v>
      </c>
      <c r="C21">
        <v>7.7228349999999999</v>
      </c>
      <c r="D21">
        <v>1.8083757</v>
      </c>
    </row>
    <row r="22" spans="1:4" x14ac:dyDescent="0.25">
      <c r="A22">
        <v>291</v>
      </c>
      <c r="B22">
        <v>-5.2061840000000004</v>
      </c>
      <c r="C22">
        <v>7.2496543000000004</v>
      </c>
      <c r="D22">
        <v>2.8378877999999998</v>
      </c>
    </row>
    <row r="23" spans="1:4" x14ac:dyDescent="0.25">
      <c r="A23">
        <v>292</v>
      </c>
      <c r="B23">
        <v>-4.5661040000000002</v>
      </c>
      <c r="C23">
        <v>7.8747790000000002</v>
      </c>
      <c r="D23">
        <v>3.7298124000000001</v>
      </c>
    </row>
    <row r="24" spans="1:4" x14ac:dyDescent="0.25">
      <c r="A24">
        <v>291</v>
      </c>
      <c r="B24">
        <v>-3.3403803999999999</v>
      </c>
      <c r="C24">
        <v>8.5483589999999996</v>
      </c>
      <c r="D24">
        <v>3.9481573000000001</v>
      </c>
    </row>
    <row r="25" spans="1:4" x14ac:dyDescent="0.25">
      <c r="A25">
        <v>309</v>
      </c>
      <c r="B25">
        <v>-3.546163</v>
      </c>
      <c r="C25">
        <v>7.9776707</v>
      </c>
      <c r="D25">
        <v>3.3684962000000001</v>
      </c>
    </row>
    <row r="26" spans="1:4" x14ac:dyDescent="0.25">
      <c r="A26">
        <v>273</v>
      </c>
      <c r="B26">
        <v>-2.4191436999999998</v>
      </c>
      <c r="C26">
        <v>8.6327060000000007</v>
      </c>
      <c r="D26">
        <v>3.7399819999999999</v>
      </c>
    </row>
    <row r="27" spans="1:4" x14ac:dyDescent="0.25">
      <c r="A27">
        <v>292</v>
      </c>
      <c r="B27">
        <v>-0.38165522000000002</v>
      </c>
      <c r="C27">
        <v>9.5665045000000006</v>
      </c>
      <c r="D27">
        <v>3.0095727000000001</v>
      </c>
    </row>
    <row r="28" spans="1:4" x14ac:dyDescent="0.25">
      <c r="A28">
        <v>291</v>
      </c>
      <c r="B28">
        <v>0.73220370000000001</v>
      </c>
      <c r="C28">
        <v>9.4360959999999992</v>
      </c>
      <c r="D28">
        <v>2.1984056999999999</v>
      </c>
    </row>
    <row r="29" spans="1:4" x14ac:dyDescent="0.25">
      <c r="A29">
        <v>291</v>
      </c>
      <c r="B29">
        <v>1.4135599999999999</v>
      </c>
      <c r="C29">
        <v>9.1734840000000002</v>
      </c>
      <c r="D29">
        <v>2.5076779999999999</v>
      </c>
    </row>
    <row r="30" spans="1:4" x14ac:dyDescent="0.25">
      <c r="A30">
        <v>292</v>
      </c>
      <c r="B30">
        <v>2.5040889000000002</v>
      </c>
      <c r="C30">
        <v>9.1722870000000007</v>
      </c>
      <c r="D30">
        <v>1.9746767999999999</v>
      </c>
    </row>
    <row r="31" spans="1:4" x14ac:dyDescent="0.25">
      <c r="A31">
        <v>291</v>
      </c>
      <c r="B31">
        <v>2.1589242999999998</v>
      </c>
      <c r="C31">
        <v>9.3379910000000006</v>
      </c>
      <c r="D31">
        <v>2.0793629</v>
      </c>
    </row>
    <row r="32" spans="1:4" x14ac:dyDescent="0.25">
      <c r="A32">
        <v>291</v>
      </c>
      <c r="B32">
        <v>2.3509483000000002</v>
      </c>
      <c r="C32">
        <v>9.272786</v>
      </c>
      <c r="D32">
        <v>2.5543382000000001</v>
      </c>
    </row>
    <row r="33" spans="1:4" x14ac:dyDescent="0.25">
      <c r="A33">
        <v>292</v>
      </c>
      <c r="B33">
        <v>2.6207389999999999</v>
      </c>
      <c r="C33">
        <v>9.373882</v>
      </c>
      <c r="D33">
        <v>2.1828525000000001</v>
      </c>
    </row>
    <row r="34" spans="1:4" x14ac:dyDescent="0.25">
      <c r="A34">
        <v>292</v>
      </c>
      <c r="B34">
        <v>2.6512475000000002</v>
      </c>
      <c r="C34">
        <v>9.3349989999999998</v>
      </c>
      <c r="D34">
        <v>1.9597218000000001</v>
      </c>
    </row>
    <row r="35" spans="1:4" x14ac:dyDescent="0.25">
      <c r="A35">
        <v>289</v>
      </c>
      <c r="B35">
        <v>2.6632115999999999</v>
      </c>
      <c r="C35">
        <v>9.3290179999999996</v>
      </c>
      <c r="D35">
        <v>1.8490537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import</vt:lpstr>
      <vt:lpstr>import!Accelerometer_simultaneous_1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</dc:creator>
  <cp:lastModifiedBy>Boris Gafurov</cp:lastModifiedBy>
  <dcterms:created xsi:type="dcterms:W3CDTF">2023-03-15T16:30:08Z</dcterms:created>
  <dcterms:modified xsi:type="dcterms:W3CDTF">2023-03-17T17:43:26Z</dcterms:modified>
</cp:coreProperties>
</file>