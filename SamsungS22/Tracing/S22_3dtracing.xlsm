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Tracing/"/>
    </mc:Choice>
  </mc:AlternateContent>
  <xr:revisionPtr revIDLastSave="0" documentId="13_ncr:1_{C6AEE6E7-6B1A-4A4A-AC12-50612F81B630}" xr6:coauthVersionLast="47" xr6:coauthVersionMax="47" xr10:uidLastSave="{00000000-0000-0000-0000-000000000000}"/>
  <bookViews>
    <workbookView xWindow="620" yWindow="500" windowWidth="29640" windowHeight="17420" activeTab="2" xr2:uid="{9D437E58-1C77-43DC-9448-C2741C7EF5BB}"/>
  </bookViews>
  <sheets>
    <sheet name="acc8" sheetId="4" r:id="rId1"/>
    <sheet name="myCobot1" sheetId="3" r:id="rId2"/>
    <sheet name="instanteneous" sheetId="1" r:id="rId3"/>
    <sheet name="import" sheetId="2" r:id="rId4"/>
  </sheets>
  <definedNames>
    <definedName name="Accelerometer_1679293146292_807c3385_f928_48c5_aede_a9998e462582" localSheetId="3">import!$A$1:$MA$1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B2" i="1"/>
  <c r="C2" i="1"/>
  <c r="A2" i="1"/>
  <c r="E2" i="4"/>
  <c r="D2" i="4"/>
  <c r="A3" i="4"/>
  <c r="B3" i="4"/>
  <c r="C3" i="4"/>
  <c r="A4" i="4"/>
  <c r="B4" i="4"/>
  <c r="C4" i="4"/>
  <c r="A5" i="4"/>
  <c r="B5" i="4"/>
  <c r="C5" i="4"/>
  <c r="A6" i="4"/>
  <c r="B6" i="4"/>
  <c r="C6" i="4"/>
  <c r="A7" i="4"/>
  <c r="B7" i="4"/>
  <c r="C7" i="4"/>
  <c r="A8" i="4"/>
  <c r="B8" i="4"/>
  <c r="C8" i="4"/>
  <c r="A9" i="4"/>
  <c r="B9" i="4"/>
  <c r="C9" i="4"/>
  <c r="A10" i="4"/>
  <c r="B10" i="4"/>
  <c r="C10" i="4"/>
  <c r="A11" i="4"/>
  <c r="B11" i="4"/>
  <c r="C11" i="4"/>
  <c r="A12" i="4"/>
  <c r="B12" i="4"/>
  <c r="C12" i="4"/>
  <c r="A13" i="4"/>
  <c r="B13" i="4"/>
  <c r="C13" i="4"/>
  <c r="A14" i="4"/>
  <c r="B14" i="4"/>
  <c r="C14" i="4"/>
  <c r="A15" i="4"/>
  <c r="B15" i="4"/>
  <c r="C15" i="4"/>
  <c r="A16" i="4"/>
  <c r="B16" i="4"/>
  <c r="C16" i="4"/>
  <c r="A17" i="4"/>
  <c r="B17" i="4"/>
  <c r="D17" i="4" s="1"/>
  <c r="C17" i="4"/>
  <c r="A18" i="4"/>
  <c r="B18" i="4"/>
  <c r="C18" i="4"/>
  <c r="A19" i="4"/>
  <c r="B19" i="4"/>
  <c r="C19" i="4"/>
  <c r="A20" i="4"/>
  <c r="B20" i="4"/>
  <c r="C20" i="4"/>
  <c r="A21" i="4"/>
  <c r="B21" i="4"/>
  <c r="C21" i="4"/>
  <c r="A22" i="4"/>
  <c r="B22" i="4"/>
  <c r="C22" i="4"/>
  <c r="A23" i="4"/>
  <c r="B23" i="4"/>
  <c r="C23" i="4"/>
  <c r="A24" i="4"/>
  <c r="B24" i="4"/>
  <c r="C24" i="4"/>
  <c r="A25" i="4"/>
  <c r="B25" i="4"/>
  <c r="C25" i="4"/>
  <c r="A26" i="4"/>
  <c r="B26" i="4"/>
  <c r="C26" i="4"/>
  <c r="A27" i="4"/>
  <c r="B27" i="4"/>
  <c r="C27" i="4"/>
  <c r="A28" i="4"/>
  <c r="B28" i="4"/>
  <c r="C28" i="4"/>
  <c r="A29" i="4"/>
  <c r="B29" i="4"/>
  <c r="C29" i="4"/>
  <c r="A30" i="4"/>
  <c r="B30" i="4"/>
  <c r="C30" i="4"/>
  <c r="A31" i="4"/>
  <c r="B31" i="4"/>
  <c r="C31" i="4"/>
  <c r="A32" i="4"/>
  <c r="B32" i="4"/>
  <c r="C32" i="4"/>
  <c r="A33" i="4"/>
  <c r="B33" i="4"/>
  <c r="C33" i="4"/>
  <c r="A34" i="4"/>
  <c r="B34" i="4"/>
  <c r="C34" i="4"/>
  <c r="A35" i="4"/>
  <c r="B35" i="4"/>
  <c r="C35" i="4"/>
  <c r="A36" i="4"/>
  <c r="B36" i="4"/>
  <c r="C36" i="4"/>
  <c r="A37" i="4"/>
  <c r="B37" i="4"/>
  <c r="C37" i="4"/>
  <c r="A38" i="4"/>
  <c r="B38" i="4"/>
  <c r="C38" i="4"/>
  <c r="A39" i="4"/>
  <c r="B39" i="4"/>
  <c r="C39" i="4"/>
  <c r="A40" i="4"/>
  <c r="B40" i="4"/>
  <c r="C40" i="4"/>
  <c r="B2" i="4"/>
  <c r="C2" i="4"/>
  <c r="A2" i="4"/>
  <c r="I1" i="4"/>
  <c r="H1" i="4"/>
  <c r="E37" i="4" s="1"/>
  <c r="A2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A10" i="3"/>
  <c r="C9" i="3"/>
  <c r="B9" i="3"/>
  <c r="A9" i="3"/>
  <c r="C8" i="3"/>
  <c r="B8" i="3"/>
  <c r="A8" i="3"/>
  <c r="C7" i="3"/>
  <c r="B7" i="3"/>
  <c r="A7" i="3"/>
  <c r="C6" i="3"/>
  <c r="B6" i="3"/>
  <c r="A6" i="3"/>
  <c r="C5" i="3"/>
  <c r="B5" i="3"/>
  <c r="A5" i="3"/>
  <c r="C4" i="3"/>
  <c r="B4" i="3"/>
  <c r="A4" i="3"/>
  <c r="C3" i="3"/>
  <c r="B3" i="3"/>
  <c r="A3" i="3"/>
  <c r="C2" i="3"/>
  <c r="B2" i="3"/>
  <c r="I1" i="3"/>
  <c r="H1" i="3"/>
  <c r="D37" i="3" s="1"/>
  <c r="H1" i="1"/>
  <c r="I1" i="1"/>
  <c r="E35" i="4" l="1"/>
  <c r="E3" i="4"/>
  <c r="D35" i="4"/>
  <c r="E23" i="4"/>
  <c r="E39" i="4"/>
  <c r="E24" i="4"/>
  <c r="E38" i="4"/>
  <c r="D36" i="4"/>
  <c r="F36" i="4" s="1"/>
  <c r="E36" i="4"/>
  <c r="E20" i="4"/>
  <c r="E15" i="4"/>
  <c r="E31" i="4"/>
  <c r="E34" i="4"/>
  <c r="E28" i="4"/>
  <c r="D34" i="4"/>
  <c r="F34" i="4" s="1"/>
  <c r="D38" i="4"/>
  <c r="F38" i="4" s="1"/>
  <c r="E40" i="4"/>
  <c r="D29" i="4"/>
  <c r="E7" i="4"/>
  <c r="D40" i="4"/>
  <c r="D10" i="4"/>
  <c r="E22" i="4"/>
  <c r="D37" i="4"/>
  <c r="F37" i="4" s="1"/>
  <c r="F17" i="4"/>
  <c r="F29" i="4"/>
  <c r="F40" i="4"/>
  <c r="F35" i="4"/>
  <c r="F10" i="4"/>
  <c r="D39" i="4"/>
  <c r="F39" i="4" s="1"/>
  <c r="E6" i="4"/>
  <c r="D7" i="4"/>
  <c r="F7" i="4" s="1"/>
  <c r="E25" i="4"/>
  <c r="D16" i="4"/>
  <c r="F16" i="4" s="1"/>
  <c r="D31" i="4"/>
  <c r="F31" i="4" s="1"/>
  <c r="D30" i="4"/>
  <c r="F30" i="4" s="1"/>
  <c r="D21" i="4"/>
  <c r="F21" i="4" s="1"/>
  <c r="D15" i="4"/>
  <c r="F15" i="4" s="1"/>
  <c r="E11" i="4"/>
  <c r="D12" i="4"/>
  <c r="F12" i="4" s="1"/>
  <c r="E27" i="4"/>
  <c r="E12" i="4"/>
  <c r="D4" i="4"/>
  <c r="F4" i="4" s="1"/>
  <c r="E18" i="4"/>
  <c r="E4" i="4"/>
  <c r="E9" i="4"/>
  <c r="E14" i="4"/>
  <c r="D23" i="4"/>
  <c r="F23" i="4" s="1"/>
  <c r="D20" i="4"/>
  <c r="F20" i="4" s="1"/>
  <c r="E26" i="4"/>
  <c r="E8" i="4"/>
  <c r="D32" i="4"/>
  <c r="F32" i="4" s="1"/>
  <c r="E19" i="4"/>
  <c r="D33" i="4"/>
  <c r="F33" i="4" s="1"/>
  <c r="E13" i="4"/>
  <c r="D28" i="4"/>
  <c r="F28" i="4" s="1"/>
  <c r="D5" i="4"/>
  <c r="F5" i="4" s="1"/>
  <c r="E16" i="4"/>
  <c r="E32" i="4"/>
  <c r="D18" i="4"/>
  <c r="F18" i="4" s="1"/>
  <c r="E21" i="4"/>
  <c r="D27" i="4"/>
  <c r="F27" i="4" s="1"/>
  <c r="D13" i="4"/>
  <c r="F13" i="4" s="1"/>
  <c r="D8" i="4"/>
  <c r="F8" i="4" s="1"/>
  <c r="D26" i="4"/>
  <c r="F26" i="4" s="1"/>
  <c r="E5" i="4"/>
  <c r="E10" i="4"/>
  <c r="D3" i="4"/>
  <c r="F3" i="4" s="1"/>
  <c r="E29" i="4"/>
  <c r="D24" i="4"/>
  <c r="F24" i="4" s="1"/>
  <c r="D11" i="4"/>
  <c r="F11" i="4" s="1"/>
  <c r="D19" i="4"/>
  <c r="F19" i="4" s="1"/>
  <c r="D6" i="4"/>
  <c r="F6" i="4" s="1"/>
  <c r="D14" i="4"/>
  <c r="F14" i="4" s="1"/>
  <c r="D22" i="4"/>
  <c r="F22" i="4" s="1"/>
  <c r="E30" i="4"/>
  <c r="D9" i="4"/>
  <c r="F9" i="4" s="1"/>
  <c r="D25" i="4"/>
  <c r="F25" i="4" s="1"/>
  <c r="E17" i="4"/>
  <c r="E33" i="4"/>
  <c r="F2" i="4"/>
  <c r="E68" i="3"/>
  <c r="D79" i="3"/>
  <c r="D48" i="3"/>
  <c r="D63" i="3"/>
  <c r="F63" i="3" s="1"/>
  <c r="D93" i="3"/>
  <c r="F93" i="3" s="1"/>
  <c r="D52" i="3"/>
  <c r="F52" i="3" s="1"/>
  <c r="D36" i="3"/>
  <c r="E52" i="3"/>
  <c r="E67" i="3"/>
  <c r="D56" i="3"/>
  <c r="F56" i="3" s="1"/>
  <c r="D51" i="3"/>
  <c r="D86" i="3"/>
  <c r="F86" i="3" s="1"/>
  <c r="E62" i="3"/>
  <c r="E66" i="3"/>
  <c r="E86" i="3"/>
  <c r="D47" i="3"/>
  <c r="F47" i="3" s="1"/>
  <c r="D67" i="3"/>
  <c r="E90" i="3"/>
  <c r="E94" i="3"/>
  <c r="D94" i="3"/>
  <c r="F94" i="3" s="1"/>
  <c r="D31" i="3"/>
  <c r="F31" i="3" s="1"/>
  <c r="E10" i="3"/>
  <c r="E91" i="3"/>
  <c r="D71" i="3"/>
  <c r="F71" i="3" s="1"/>
  <c r="D90" i="3"/>
  <c r="F90" i="3" s="1"/>
  <c r="D15" i="3"/>
  <c r="F15" i="3" s="1"/>
  <c r="D75" i="3"/>
  <c r="E89" i="3"/>
  <c r="E74" i="3"/>
  <c r="E36" i="3"/>
  <c r="E70" i="3"/>
  <c r="E75" i="3"/>
  <c r="D70" i="3"/>
  <c r="D55" i="3"/>
  <c r="F55" i="3" s="1"/>
  <c r="D40" i="3"/>
  <c r="F40" i="3" s="1"/>
  <c r="E60" i="3"/>
  <c r="D44" i="3"/>
  <c r="F44" i="3" s="1"/>
  <c r="E78" i="3"/>
  <c r="E83" i="3"/>
  <c r="D78" i="3"/>
  <c r="F78" i="3" s="1"/>
  <c r="E44" i="3"/>
  <c r="D74" i="3"/>
  <c r="F74" i="3" s="1"/>
  <c r="E82" i="3"/>
  <c r="D64" i="3"/>
  <c r="F64" i="3" s="1"/>
  <c r="D59" i="3"/>
  <c r="F59" i="3" s="1"/>
  <c r="D83" i="3"/>
  <c r="F83" i="3" s="1"/>
  <c r="D87" i="3"/>
  <c r="F87" i="3" s="1"/>
  <c r="D91" i="3"/>
  <c r="F91" i="3" s="1"/>
  <c r="D82" i="3"/>
  <c r="E59" i="3"/>
  <c r="E43" i="3"/>
  <c r="E6" i="3"/>
  <c r="E93" i="3"/>
  <c r="D66" i="3"/>
  <c r="F66" i="3" s="1"/>
  <c r="D62" i="3"/>
  <c r="F62" i="3" s="1"/>
  <c r="E58" i="3"/>
  <c r="E54" i="3"/>
  <c r="E51" i="3"/>
  <c r="E85" i="3"/>
  <c r="D58" i="3"/>
  <c r="F58" i="3" s="1"/>
  <c r="D54" i="3"/>
  <c r="F54" i="3" s="1"/>
  <c r="E50" i="3"/>
  <c r="E46" i="3"/>
  <c r="D43" i="3"/>
  <c r="F43" i="3" s="1"/>
  <c r="D39" i="3"/>
  <c r="F39" i="3" s="1"/>
  <c r="E35" i="3"/>
  <c r="D89" i="3"/>
  <c r="F89" i="3" s="1"/>
  <c r="D85" i="3"/>
  <c r="F85" i="3" s="1"/>
  <c r="E81" i="3"/>
  <c r="E77" i="3"/>
  <c r="D50" i="3"/>
  <c r="D46" i="3"/>
  <c r="F46" i="3" s="1"/>
  <c r="D23" i="3"/>
  <c r="F23" i="3" s="1"/>
  <c r="E73" i="3"/>
  <c r="E69" i="3"/>
  <c r="E42" i="3"/>
  <c r="E38" i="3"/>
  <c r="D35" i="3"/>
  <c r="D33" i="3"/>
  <c r="F33" i="3" s="1"/>
  <c r="D73" i="3"/>
  <c r="F73" i="3" s="1"/>
  <c r="D69" i="3"/>
  <c r="F69" i="3" s="1"/>
  <c r="E65" i="3"/>
  <c r="E61" i="3"/>
  <c r="D42" i="3"/>
  <c r="F42" i="3" s="1"/>
  <c r="D38" i="3"/>
  <c r="F38" i="3" s="1"/>
  <c r="E7" i="3"/>
  <c r="E28" i="3"/>
  <c r="D65" i="3"/>
  <c r="F65" i="3" s="1"/>
  <c r="D61" i="3"/>
  <c r="F61" i="3" s="1"/>
  <c r="E57" i="3"/>
  <c r="E53" i="3"/>
  <c r="E34" i="3"/>
  <c r="D96" i="3"/>
  <c r="F96" i="3" s="1"/>
  <c r="D84" i="3"/>
  <c r="F84" i="3" s="1"/>
  <c r="D57" i="3"/>
  <c r="F57" i="3" s="1"/>
  <c r="D53" i="3"/>
  <c r="F53" i="3" s="1"/>
  <c r="E49" i="3"/>
  <c r="E45" i="3"/>
  <c r="E23" i="3"/>
  <c r="E29" i="3"/>
  <c r="D76" i="3"/>
  <c r="F76" i="3" s="1"/>
  <c r="D45" i="3"/>
  <c r="F45" i="3" s="1"/>
  <c r="D34" i="3"/>
  <c r="F34" i="3" s="1"/>
  <c r="D81" i="3"/>
  <c r="F81" i="3" s="1"/>
  <c r="D24" i="3"/>
  <c r="F24" i="3" s="1"/>
  <c r="D88" i="3"/>
  <c r="F88" i="3" s="1"/>
  <c r="D49" i="3"/>
  <c r="F49" i="3" s="1"/>
  <c r="E84" i="3"/>
  <c r="D80" i="3"/>
  <c r="F80" i="3" s="1"/>
  <c r="D68" i="3"/>
  <c r="F68" i="3" s="1"/>
  <c r="E41" i="3"/>
  <c r="E37" i="3"/>
  <c r="D77" i="3"/>
  <c r="F77" i="3" s="1"/>
  <c r="D92" i="3"/>
  <c r="F92" i="3" s="1"/>
  <c r="D19" i="3"/>
  <c r="F19" i="3" s="1"/>
  <c r="E92" i="3"/>
  <c r="D95" i="3"/>
  <c r="F95" i="3" s="1"/>
  <c r="E76" i="3"/>
  <c r="D72" i="3"/>
  <c r="F72" i="3" s="1"/>
  <c r="D60" i="3"/>
  <c r="F60" i="3" s="1"/>
  <c r="D41" i="3"/>
  <c r="F41" i="3" s="1"/>
  <c r="F50" i="3"/>
  <c r="F36" i="3"/>
  <c r="F75" i="3"/>
  <c r="F82" i="3"/>
  <c r="F35" i="3"/>
  <c r="F79" i="3"/>
  <c r="F70" i="3"/>
  <c r="F67" i="3"/>
  <c r="F37" i="3"/>
  <c r="F48" i="3"/>
  <c r="F51" i="3"/>
  <c r="E96" i="3"/>
  <c r="E88" i="3"/>
  <c r="E80" i="3"/>
  <c r="E72" i="3"/>
  <c r="E64" i="3"/>
  <c r="E56" i="3"/>
  <c r="E48" i="3"/>
  <c r="E40" i="3"/>
  <c r="E95" i="3"/>
  <c r="E87" i="3"/>
  <c r="E79" i="3"/>
  <c r="E71" i="3"/>
  <c r="E63" i="3"/>
  <c r="E55" i="3"/>
  <c r="E47" i="3"/>
  <c r="E39" i="3"/>
  <c r="E15" i="3"/>
  <c r="D20" i="3"/>
  <c r="F20" i="3" s="1"/>
  <c r="E11" i="3"/>
  <c r="D12" i="3"/>
  <c r="F12" i="3" s="1"/>
  <c r="E22" i="3"/>
  <c r="E27" i="3"/>
  <c r="D4" i="3"/>
  <c r="F4" i="3" s="1"/>
  <c r="E18" i="3"/>
  <c r="E32" i="3"/>
  <c r="E21" i="3"/>
  <c r="E12" i="3"/>
  <c r="E31" i="3"/>
  <c r="D13" i="3"/>
  <c r="F13" i="3" s="1"/>
  <c r="D28" i="3"/>
  <c r="F28" i="3" s="1"/>
  <c r="E30" i="3"/>
  <c r="D7" i="3"/>
  <c r="F7" i="3" s="1"/>
  <c r="D17" i="3"/>
  <c r="F17" i="3" s="1"/>
  <c r="E8" i="3"/>
  <c r="E4" i="3"/>
  <c r="D9" i="3"/>
  <c r="F9" i="3" s="1"/>
  <c r="E14" i="3"/>
  <c r="D25" i="3"/>
  <c r="F25" i="3" s="1"/>
  <c r="E2" i="3"/>
  <c r="D3" i="3"/>
  <c r="F3" i="3" s="1"/>
  <c r="E20" i="3"/>
  <c r="E16" i="3"/>
  <c r="E26" i="3"/>
  <c r="E5" i="3"/>
  <c r="D10" i="3"/>
  <c r="F10" i="3" s="1"/>
  <c r="D29" i="3"/>
  <c r="F29" i="3" s="1"/>
  <c r="D2" i="3"/>
  <c r="F2" i="3" s="1"/>
  <c r="D18" i="3"/>
  <c r="F18" i="3" s="1"/>
  <c r="D21" i="3"/>
  <c r="F21" i="3" s="1"/>
  <c r="E13" i="3"/>
  <c r="D26" i="3"/>
  <c r="F26" i="3" s="1"/>
  <c r="D8" i="3"/>
  <c r="F8" i="3" s="1"/>
  <c r="D32" i="3"/>
  <c r="F32" i="3" s="1"/>
  <c r="E24" i="3"/>
  <c r="D11" i="3"/>
  <c r="F11" i="3" s="1"/>
  <c r="E3" i="3"/>
  <c r="E19" i="3"/>
  <c r="D6" i="3"/>
  <c r="F6" i="3" s="1"/>
  <c r="D14" i="3"/>
  <c r="F14" i="3" s="1"/>
  <c r="D30" i="3"/>
  <c r="F30" i="3" s="1"/>
  <c r="E9" i="3"/>
  <c r="E17" i="3"/>
  <c r="E25" i="3"/>
  <c r="E33" i="3"/>
  <c r="D5" i="3"/>
  <c r="F5" i="3" s="1"/>
  <c r="D16" i="3"/>
  <c r="F16" i="3" s="1"/>
  <c r="D27" i="3"/>
  <c r="F27" i="3" s="1"/>
  <c r="D22" i="3"/>
  <c r="F22" i="3" s="1"/>
  <c r="E30" i="1"/>
  <c r="D32" i="1"/>
  <c r="F32" i="1" s="1"/>
  <c r="D19" i="1"/>
  <c r="F19" i="1" s="1"/>
  <c r="D25" i="1"/>
  <c r="F25" i="1" s="1"/>
  <c r="D28" i="1"/>
  <c r="F28" i="1" s="1"/>
  <c r="E26" i="1"/>
  <c r="E29" i="1"/>
  <c r="E20" i="1"/>
  <c r="D29" i="1"/>
  <c r="F29" i="1" s="1"/>
  <c r="D20" i="1"/>
  <c r="F20" i="1" s="1"/>
  <c r="E22" i="1"/>
  <c r="D21" i="1"/>
  <c r="F21" i="1" s="1"/>
  <c r="D24" i="1"/>
  <c r="F24" i="1" s="1"/>
  <c r="E27" i="1"/>
  <c r="E23" i="1"/>
  <c r="D22" i="1"/>
  <c r="F22" i="1" s="1"/>
  <c r="E28" i="1"/>
  <c r="E31" i="1"/>
  <c r="D30" i="1"/>
  <c r="F30" i="1" s="1"/>
  <c r="D26" i="1"/>
  <c r="F26" i="1" s="1"/>
  <c r="E21" i="1"/>
  <c r="E24" i="1"/>
  <c r="D31" i="1"/>
  <c r="F31" i="1" s="1"/>
  <c r="D27" i="1"/>
  <c r="F27" i="1" s="1"/>
  <c r="D23" i="1"/>
  <c r="F23" i="1" s="1"/>
  <c r="E25" i="1"/>
  <c r="E19" i="1"/>
  <c r="D2" i="1"/>
  <c r="F2" i="1" s="1"/>
  <c r="E2" i="1"/>
  <c r="D5" i="1"/>
  <c r="F5" i="1" s="1"/>
  <c r="D11" i="1"/>
  <c r="F11" i="1" s="1"/>
  <c r="E17" i="1"/>
  <c r="E11" i="1"/>
  <c r="D18" i="1"/>
  <c r="F18" i="1" s="1"/>
  <c r="D12" i="1"/>
  <c r="F12" i="1" s="1"/>
  <c r="E18" i="1"/>
  <c r="E12" i="1"/>
  <c r="D13" i="1"/>
  <c r="F13" i="1" s="1"/>
  <c r="E13" i="1"/>
  <c r="D14" i="1"/>
  <c r="F14" i="1" s="1"/>
  <c r="E14" i="1"/>
  <c r="D15" i="1"/>
  <c r="F15" i="1" s="1"/>
  <c r="E15" i="1"/>
  <c r="D16" i="1"/>
  <c r="F16" i="1" s="1"/>
  <c r="E16" i="1"/>
  <c r="D17" i="1"/>
  <c r="F17" i="1" s="1"/>
  <c r="E10" i="1"/>
  <c r="D10" i="1"/>
  <c r="F10" i="1" s="1"/>
  <c r="D6" i="1"/>
  <c r="F6" i="1" s="1"/>
  <c r="D7" i="1"/>
  <c r="F7" i="1" s="1"/>
  <c r="E7" i="1"/>
  <c r="E8" i="1"/>
  <c r="D3" i="1"/>
  <c r="F3" i="1" s="1"/>
  <c r="D8" i="1"/>
  <c r="F8" i="1" s="1"/>
  <c r="E9" i="1"/>
  <c r="D9" i="1"/>
  <c r="F9" i="1" s="1"/>
  <c r="E6" i="1"/>
  <c r="E5" i="1"/>
  <c r="E3" i="1"/>
  <c r="E4" i="1"/>
  <c r="D4" i="1"/>
  <c r="F4" i="1" s="1"/>
  <c r="E32" i="1" l="1"/>
  <c r="D33" i="1" l="1"/>
  <c r="F33" i="1" s="1"/>
  <c r="E3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BD42FB-1AB9-A543-9A63-6D981BB39890}" name="Accelerometer_1679293146292_807c3385-f928-48c5-aede-a9998e462582" type="6" refreshedVersion="8" background="1" saveData="1">
    <textPr codePage="10000" sourceFile="/Users/bgafurov/Documents/SamsungS22/Tracing/Accelerometer_1679293146292_807c3385-f928-48c5-aede-a9998e462582.txt" comma="1" delimiter=":">
      <textFields count="33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<sst xmlns="http://schemas.openxmlformats.org/spreadsheetml/2006/main" count="222" uniqueCount="53">
  <si>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</si>
  <si>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</si>
  <si>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</si>
  <si>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</si>
  <si>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</si>
  <si>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</si>
  <si>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</si>
  <si>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</si>
  <si>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Rot X</t>
  </si>
  <si>
    <t>Rot Y</t>
  </si>
  <si>
    <t>s=at^2/2</t>
  </si>
  <si>
    <t>0.15463616}</t>
  </si>
  <si>
    <t>1.8098712}</t>
  </si>
  <si>
    <t>1.6881363}</t>
  </si>
  <si>
    <t>1.7572291}</t>
  </si>
  <si>
    <t>1.7691933}</t>
  </si>
  <si>
    <t>1.7895322}</t>
  </si>
  <si>
    <t>1.6621144}</t>
  </si>
  <si>
    <t>1.4955142}</t>
  </si>
  <si>
    <t>0.6684948}</t>
  </si>
  <si>
    <t>0.8895318}</t>
  </si>
  <si>
    <t>0.8168498}</t>
  </si>
  <si>
    <t>0.46061835}</t>
  </si>
  <si>
    <t>1.1709876}</t>
  </si>
  <si>
    <t>1.7823538}</t>
  </si>
  <si>
    <t>3.5694933}</t>
  </si>
  <si>
    <t>3.3583267}</t>
  </si>
  <si>
    <t>4.028915}</t>
  </si>
  <si>
    <t>5.3126645}</t>
  </si>
  <si>
    <t>5.5776696}</t>
  </si>
  <si>
    <t>7.3175507}</t>
  </si>
  <si>
    <t>7.8239317}</t>
  </si>
  <si>
    <t>8.150851}</t>
  </si>
  <si>
    <t>7.373483}</t>
  </si>
  <si>
    <t>6.732506}</t>
  </si>
  <si>
    <t>6.435796}</t>
  </si>
  <si>
    <t>6.1232333}</t>
  </si>
  <si>
    <t>4.879863}</t>
  </si>
  <si>
    <t>3.4929228}</t>
  </si>
  <si>
    <t>2.1774685}</t>
  </si>
  <si>
    <t>-2.4050858}</t>
  </si>
  <si>
    <t>-2.0865414}</t>
  </si>
  <si>
    <t>-3.464209}</t>
  </si>
  <si>
    <t>-3.4809587}</t>
  </si>
  <si>
    <t>-3.0783663}</t>
  </si>
  <si>
    <t>-1.5173486}</t>
  </si>
  <si>
    <t>-0.07716853}</t>
  </si>
  <si>
    <t>0.9454641}</t>
  </si>
  <si>
    <t>1.1042876}</t>
  </si>
  <si>
    <t>0.8431709}</t>
  </si>
  <si>
    <t>0.89102733}</t>
  </si>
  <si>
    <t>1.0127622}</t>
  </si>
  <si>
    <t>1.017847}]}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</si>
</sst>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1" fontId="0" fillId="0" borderId="0" xfId="0" applyNumberForma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'acc8'!$E$2:$E$40</c:f>
              <c:numCache>
                <c:formatCode>General</c:formatCode>
                <c:ptCount val="39"/>
                <c:pt idx="0">
                  <c:v>-0.26588304215159997</c:v>
                </c:pt>
                <c:pt idx="1">
                  <c:v>-7.2312206136999999E-2</c:v>
                </c:pt>
                <c:pt idx="2">
                  <c:v>-0.25925890981919997</c:v>
                </c:pt>
                <c:pt idx="3">
                  <c:v>-0.25319116980035006</c:v>
                </c:pt>
                <c:pt idx="4">
                  <c:v>-0.2538411543054</c:v>
                </c:pt>
                <c:pt idx="5">
                  <c:v>-0.23164345033035003</c:v>
                </c:pt>
                <c:pt idx="6">
                  <c:v>-0.15654031806399998</c:v>
                </c:pt>
                <c:pt idx="7">
                  <c:v>-0.1200739946336</c:v>
                </c:pt>
                <c:pt idx="8">
                  <c:v>-0.11734332732799997</c:v>
                </c:pt>
                <c:pt idx="9">
                  <c:v>-5.6262658576000005E-2</c:v>
                </c:pt>
                <c:pt idx="10">
                  <c:v>-3.6849766648500001E-3</c:v>
                </c:pt>
                <c:pt idx="11">
                  <c:v>1.2542973278355001E-2</c:v>
                </c:pt>
                <c:pt idx="12">
                  <c:v>9.93770977528E-2</c:v>
                </c:pt>
                <c:pt idx="13">
                  <c:v>0.1831519508352</c:v>
                </c:pt>
                <c:pt idx="14">
                  <c:v>0.25520317548895</c:v>
                </c:pt>
                <c:pt idx="15">
                  <c:v>0.33264207250350003</c:v>
                </c:pt>
                <c:pt idx="16">
                  <c:v>0.3316982178108</c:v>
                </c:pt>
                <c:pt idx="17">
                  <c:v>0.34685174259760004</c:v>
                </c:pt>
                <c:pt idx="18">
                  <c:v>0.34058556673084994</c:v>
                </c:pt>
                <c:pt idx="19">
                  <c:v>0.10616356</c:v>
                </c:pt>
                <c:pt idx="20">
                  <c:v>0.2717853907892</c:v>
                </c:pt>
                <c:pt idx="21">
                  <c:v>6.265606E-2</c:v>
                </c:pt>
                <c:pt idx="22">
                  <c:v>7.8568317426799983E-2</c:v>
                </c:pt>
                <c:pt idx="23">
                  <c:v>-9.8882821490399994E-2</c:v>
                </c:pt>
                <c:pt idx="24">
                  <c:v>-0.1424301336696</c:v>
                </c:pt>
                <c:pt idx="25">
                  <c:v>-0.15532633715199998</c:v>
                </c:pt>
                <c:pt idx="26">
                  <c:v>-0.20597201001000004</c:v>
                </c:pt>
                <c:pt idx="27">
                  <c:v>-0.19458420674000002</c:v>
                </c:pt>
                <c:pt idx="28">
                  <c:v>-0.16042804341759995</c:v>
                </c:pt>
                <c:pt idx="29">
                  <c:v>-0.11587204628999999</c:v>
                </c:pt>
                <c:pt idx="30">
                  <c:v>-9.0197414239949994E-2</c:v>
                </c:pt>
                <c:pt idx="31">
                  <c:v>-0.12433070549549997</c:v>
                </c:pt>
                <c:pt idx="32">
                  <c:v>-3.281158E-2</c:v>
                </c:pt>
                <c:pt idx="33">
                  <c:v>-0.1117999498556</c:v>
                </c:pt>
                <c:pt idx="34">
                  <c:v>-0.11598578667000002</c:v>
                </c:pt>
                <c:pt idx="35">
                  <c:v>-0.11072826847749999</c:v>
                </c:pt>
                <c:pt idx="36">
                  <c:v>-9.8328521988899992E-2</c:v>
                </c:pt>
                <c:pt idx="37">
                  <c:v>-9.8926820648799998E-2</c:v>
                </c:pt>
                <c:pt idx="38">
                  <c:v>-9.2504425962150014E-2</c:v>
                </c:pt>
              </c:numCache>
            </c:numRef>
          </c:xVal>
          <c:yVal>
            <c:numRef>
              <c:f>'acc8'!$F$2:$F$40</c:f>
              <c:numCache>
                <c:formatCode>General</c:formatCode>
                <c:ptCount val="39"/>
                <c:pt idx="0">
                  <c:v>0.68137478126350004</c:v>
                </c:pt>
                <c:pt idx="1">
                  <c:v>0.18341671386800001</c:v>
                </c:pt>
                <c:pt idx="2">
                  <c:v>0.65862235592600005</c:v>
                </c:pt>
                <c:pt idx="3">
                  <c:v>0.69667581226100006</c:v>
                </c:pt>
                <c:pt idx="4">
                  <c:v>0.70993804336100008</c:v>
                </c:pt>
                <c:pt idx="5">
                  <c:v>0.72926046303449998</c:v>
                </c:pt>
                <c:pt idx="6">
                  <c:v>0.74667904563999998</c:v>
                </c:pt>
                <c:pt idx="7">
                  <c:v>0.75974093887999994</c:v>
                </c:pt>
                <c:pt idx="8">
                  <c:v>0.76561334087999988</c:v>
                </c:pt>
                <c:pt idx="9">
                  <c:v>0.739429524048</c:v>
                </c:pt>
                <c:pt idx="10">
                  <c:v>0.74068038135000003</c:v>
                </c:pt>
                <c:pt idx="11">
                  <c:v>0.69098346919349996</c:v>
                </c:pt>
                <c:pt idx="12">
                  <c:v>0.64995866560000004</c:v>
                </c:pt>
                <c:pt idx="13">
                  <c:v>0.59261532692000007</c:v>
                </c:pt>
                <c:pt idx="14">
                  <c:v>0.52579350257780011</c:v>
                </c:pt>
                <c:pt idx="15">
                  <c:v>0.32018143015799999</c:v>
                </c:pt>
                <c:pt idx="16">
                  <c:v>0.24586579409879999</c:v>
                </c:pt>
                <c:pt idx="17">
                  <c:v>0.18772230107680002</c:v>
                </c:pt>
                <c:pt idx="18">
                  <c:v>0.18095162653904998</c:v>
                </c:pt>
                <c:pt idx="19">
                  <c:v>8.4843511999999968E-2</c:v>
                </c:pt>
                <c:pt idx="20">
                  <c:v>0.49084609100199994</c:v>
                </c:pt>
                <c:pt idx="21">
                  <c:v>0.17099112</c:v>
                </c:pt>
                <c:pt idx="22">
                  <c:v>0.54543258497140001</c:v>
                </c:pt>
                <c:pt idx="23">
                  <c:v>0.71788791004200003</c:v>
                </c:pt>
                <c:pt idx="24">
                  <c:v>0.71598329245600012</c:v>
                </c:pt>
                <c:pt idx="25">
                  <c:v>0.74795179838399983</c:v>
                </c:pt>
                <c:pt idx="26">
                  <c:v>0.73792797974999991</c:v>
                </c:pt>
                <c:pt idx="27">
                  <c:v>0.68829338558750019</c:v>
                </c:pt>
                <c:pt idx="28">
                  <c:v>0.71934082931199983</c:v>
                </c:pt>
                <c:pt idx="29">
                  <c:v>0.70085071484999995</c:v>
                </c:pt>
                <c:pt idx="30">
                  <c:v>0.69396237460349985</c:v>
                </c:pt>
                <c:pt idx="31">
                  <c:v>0.71941627537949993</c:v>
                </c:pt>
                <c:pt idx="32">
                  <c:v>0.19055242</c:v>
                </c:pt>
                <c:pt idx="33">
                  <c:v>0.70434180436600025</c:v>
                </c:pt>
                <c:pt idx="34">
                  <c:v>0.74159016749999995</c:v>
                </c:pt>
                <c:pt idx="35">
                  <c:v>0.74160272240949987</c:v>
                </c:pt>
                <c:pt idx="36">
                  <c:v>0.73555170927000002</c:v>
                </c:pt>
                <c:pt idx="37">
                  <c:v>0.73087418380000002</c:v>
                </c:pt>
                <c:pt idx="38">
                  <c:v>0.72489424105799993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1E-A34F-B3C5-CC385B817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320255"/>
        <c:axId val="1063328991"/>
      </c:scatterChart>
      <c:valAx>
        <c:axId val="106332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8991"/>
        <c:crosses val="autoZero"/>
        <c:crossBetween val="midCat"/>
      </c:valAx>
      <c:valAx>
        <c:axId val="10633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0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myCobot1!$E$2:$E$101</c:f>
              <c:numCache>
                <c:formatCode>General</c:formatCode>
                <c:ptCount val="100"/>
                <c:pt idx="0">
                  <c:v>0.11308181271890225</c:v>
                </c:pt>
                <c:pt idx="1">
                  <c:v>0.15017679056845476</c:v>
                </c:pt>
                <c:pt idx="2">
                  <c:v>0.14743639475351311</c:v>
                </c:pt>
                <c:pt idx="3">
                  <c:v>0.13457969926124341</c:v>
                </c:pt>
                <c:pt idx="4">
                  <c:v>0.19710218325101683</c:v>
                </c:pt>
                <c:pt idx="5">
                  <c:v>0.1921100646579075</c:v>
                </c:pt>
                <c:pt idx="6">
                  <c:v>0.26304208520486266</c:v>
                </c:pt>
                <c:pt idx="7">
                  <c:v>0.24915216060238765</c:v>
                </c:pt>
                <c:pt idx="8">
                  <c:v>0.27076794894802131</c:v>
                </c:pt>
                <c:pt idx="9">
                  <c:v>0.26254153046304884</c:v>
                </c:pt>
                <c:pt idx="10">
                  <c:v>0.26932791135855072</c:v>
                </c:pt>
                <c:pt idx="11">
                  <c:v>0.26637386112817413</c:v>
                </c:pt>
                <c:pt idx="12">
                  <c:v>0.29459937299384314</c:v>
                </c:pt>
                <c:pt idx="13">
                  <c:v>0.30212033509575442</c:v>
                </c:pt>
                <c:pt idx="14">
                  <c:v>0.31185699100319103</c:v>
                </c:pt>
                <c:pt idx="15">
                  <c:v>0.31948367050553095</c:v>
                </c:pt>
                <c:pt idx="16">
                  <c:v>0.30858425748847185</c:v>
                </c:pt>
                <c:pt idx="17">
                  <c:v>0.30013887021997221</c:v>
                </c:pt>
                <c:pt idx="18">
                  <c:v>0.3392775811699264</c:v>
                </c:pt>
                <c:pt idx="19">
                  <c:v>0.34400352510186732</c:v>
                </c:pt>
                <c:pt idx="20">
                  <c:v>0.35494516883300159</c:v>
                </c:pt>
                <c:pt idx="21">
                  <c:v>0.35545588028717501</c:v>
                </c:pt>
                <c:pt idx="22">
                  <c:v>0.36048543605485517</c:v>
                </c:pt>
                <c:pt idx="23">
                  <c:v>0.32785825157328513</c:v>
                </c:pt>
                <c:pt idx="24">
                  <c:v>0.33979385181388821</c:v>
                </c:pt>
                <c:pt idx="25">
                  <c:v>0.33689148933032464</c:v>
                </c:pt>
                <c:pt idx="26">
                  <c:v>0.34440217671607876</c:v>
                </c:pt>
                <c:pt idx="27">
                  <c:v>0.34327907595525331</c:v>
                </c:pt>
                <c:pt idx="28">
                  <c:v>0.34157775811251462</c:v>
                </c:pt>
                <c:pt idx="29">
                  <c:v>0.34548701167967705</c:v>
                </c:pt>
                <c:pt idx="30">
                  <c:v>0.34041161878216775</c:v>
                </c:pt>
                <c:pt idx="31">
                  <c:v>0.32218063106681111</c:v>
                </c:pt>
                <c:pt idx="32">
                  <c:v>0.29606637894271154</c:v>
                </c:pt>
                <c:pt idx="33">
                  <c:v>0.25818181520873884</c:v>
                </c:pt>
                <c:pt idx="34">
                  <c:v>0.23288113711580372</c:v>
                </c:pt>
                <c:pt idx="35">
                  <c:v>0.21154856795469654</c:v>
                </c:pt>
                <c:pt idx="36">
                  <c:v>0.2257611184516139</c:v>
                </c:pt>
                <c:pt idx="37">
                  <c:v>0.2005694765295534</c:v>
                </c:pt>
                <c:pt idx="38">
                  <c:v>0.21707507068175919</c:v>
                </c:pt>
                <c:pt idx="39">
                  <c:v>0.20332502555044532</c:v>
                </c:pt>
                <c:pt idx="40">
                  <c:v>0.20529448833081787</c:v>
                </c:pt>
                <c:pt idx="41">
                  <c:v>0.2000146053060661</c:v>
                </c:pt>
                <c:pt idx="42">
                  <c:v>2.9923488171223648E-2</c:v>
                </c:pt>
                <c:pt idx="43">
                  <c:v>6.9100196611862758E-3</c:v>
                </c:pt>
                <c:pt idx="44">
                  <c:v>5.9154276609045585E-3</c:v>
                </c:pt>
                <c:pt idx="45">
                  <c:v>4.4590382529645202E-3</c:v>
                </c:pt>
                <c:pt idx="46">
                  <c:v>-0.1294114146673403</c:v>
                </c:pt>
                <c:pt idx="47">
                  <c:v>-0.13313879894568945</c:v>
                </c:pt>
                <c:pt idx="48">
                  <c:v>2.6832703568144956E-4</c:v>
                </c:pt>
                <c:pt idx="49">
                  <c:v>-1.2065501702772643E-2</c:v>
                </c:pt>
                <c:pt idx="50">
                  <c:v>-4.3504203795310566E-2</c:v>
                </c:pt>
                <c:pt idx="51">
                  <c:v>3.0065014399568154E-2</c:v>
                </c:pt>
                <c:pt idx="52">
                  <c:v>1.0080603988441288E-2</c:v>
                </c:pt>
                <c:pt idx="53">
                  <c:v>5.4736967586076447E-3</c:v>
                </c:pt>
                <c:pt idx="54">
                  <c:v>4.4499635792729308E-2</c:v>
                </c:pt>
                <c:pt idx="55">
                  <c:v>4.7808121378226279E-2</c:v>
                </c:pt>
                <c:pt idx="56">
                  <c:v>1.1744537502905881E-2</c:v>
                </c:pt>
                <c:pt idx="57">
                  <c:v>5.2239969986804233E-2</c:v>
                </c:pt>
                <c:pt idx="58">
                  <c:v>6.3891328524739499E-2</c:v>
                </c:pt>
                <c:pt idx="59">
                  <c:v>6.7128960366320545E-2</c:v>
                </c:pt>
                <c:pt idx="60">
                  <c:v>6.6911988688360527E-2</c:v>
                </c:pt>
                <c:pt idx="61">
                  <c:v>6.4809724419235895E-2</c:v>
                </c:pt>
                <c:pt idx="62">
                  <c:v>7.0323458404154965E-2</c:v>
                </c:pt>
                <c:pt idx="63">
                  <c:v>6.931082288597136E-2</c:v>
                </c:pt>
                <c:pt idx="64">
                  <c:v>8.8638844455575808E-2</c:v>
                </c:pt>
                <c:pt idx="65">
                  <c:v>0.11090196356972595</c:v>
                </c:pt>
                <c:pt idx="66">
                  <c:v>0.11526290528933218</c:v>
                </c:pt>
                <c:pt idx="67">
                  <c:v>0.10872337821662448</c:v>
                </c:pt>
                <c:pt idx="68">
                  <c:v>0.11468905832976105</c:v>
                </c:pt>
                <c:pt idx="69">
                  <c:v>0.15088383695054208</c:v>
                </c:pt>
                <c:pt idx="70">
                  <c:v>0.14261812732514279</c:v>
                </c:pt>
                <c:pt idx="71">
                  <c:v>0.15130770951271511</c:v>
                </c:pt>
                <c:pt idx="72">
                  <c:v>0.11787742287698223</c:v>
                </c:pt>
                <c:pt idx="73">
                  <c:v>8.5530403738517988E-2</c:v>
                </c:pt>
                <c:pt idx="74">
                  <c:v>2.8975708527918951E-2</c:v>
                </c:pt>
                <c:pt idx="75">
                  <c:v>5.2833333276621867E-2</c:v>
                </c:pt>
                <c:pt idx="76">
                  <c:v>-4.0140782010932054E-2</c:v>
                </c:pt>
                <c:pt idx="77">
                  <c:v>-7.148413967725592E-2</c:v>
                </c:pt>
                <c:pt idx="78">
                  <c:v>-8.4701224916750015E-2</c:v>
                </c:pt>
                <c:pt idx="79">
                  <c:v>0.16855121719647206</c:v>
                </c:pt>
                <c:pt idx="80">
                  <c:v>0.11401811495041166</c:v>
                </c:pt>
                <c:pt idx="81">
                  <c:v>0.11135140704017109</c:v>
                </c:pt>
                <c:pt idx="82">
                  <c:v>0.10692599420630369</c:v>
                </c:pt>
                <c:pt idx="83">
                  <c:v>0.11275969285735905</c:v>
                </c:pt>
                <c:pt idx="84">
                  <c:v>0.11154291684087075</c:v>
                </c:pt>
                <c:pt idx="85">
                  <c:v>0.11136506120099904</c:v>
                </c:pt>
                <c:pt idx="86">
                  <c:v>9.069344595582142E-2</c:v>
                </c:pt>
                <c:pt idx="87">
                  <c:v>5.5067928776795595E-2</c:v>
                </c:pt>
                <c:pt idx="88">
                  <c:v>2.7926138813213468E-2</c:v>
                </c:pt>
                <c:pt idx="89">
                  <c:v>0.10304729624926608</c:v>
                </c:pt>
                <c:pt idx="90">
                  <c:v>0.10269710721072677</c:v>
                </c:pt>
                <c:pt idx="91">
                  <c:v>0.13304768866128075</c:v>
                </c:pt>
                <c:pt idx="92">
                  <c:v>6.7878890147161475E-2</c:v>
                </c:pt>
                <c:pt idx="93">
                  <c:v>0.25076602338609705</c:v>
                </c:pt>
                <c:pt idx="94">
                  <c:v>0.30879390575419846</c:v>
                </c:pt>
              </c:numCache>
            </c:numRef>
          </c:xVal>
          <c:yVal>
            <c:numRef>
              <c:f>myCobot1!$F$2:$F$101</c:f>
              <c:numCache>
                <c:formatCode>General</c:formatCode>
                <c:ptCount val="100"/>
                <c:pt idx="0">
                  <c:v>9.3586165097212098E-2</c:v>
                </c:pt>
                <c:pt idx="1">
                  <c:v>9.4975484464278684E-2</c:v>
                </c:pt>
                <c:pt idx="2">
                  <c:v>9.2195286741981186E-2</c:v>
                </c:pt>
                <c:pt idx="3">
                  <c:v>9.1814202191667971E-2</c:v>
                </c:pt>
                <c:pt idx="4">
                  <c:v>0.1895103508942321</c:v>
                </c:pt>
                <c:pt idx="5">
                  <c:v>0.1405510958679215</c:v>
                </c:pt>
                <c:pt idx="6">
                  <c:v>-1.8193088953859297E-2</c:v>
                </c:pt>
                <c:pt idx="7">
                  <c:v>0.18695760928736499</c:v>
                </c:pt>
                <c:pt idx="8">
                  <c:v>0.11060491657328717</c:v>
                </c:pt>
                <c:pt idx="9">
                  <c:v>0.15939831896131343</c:v>
                </c:pt>
                <c:pt idx="10">
                  <c:v>0.12512879563090373</c:v>
                </c:pt>
                <c:pt idx="11">
                  <c:v>0.14491893273563636</c:v>
                </c:pt>
                <c:pt idx="12">
                  <c:v>0.16418043955577541</c:v>
                </c:pt>
                <c:pt idx="13">
                  <c:v>0.14112100064149558</c:v>
                </c:pt>
                <c:pt idx="14">
                  <c:v>0.14262480983929243</c:v>
                </c:pt>
                <c:pt idx="15">
                  <c:v>0.11337433963938956</c:v>
                </c:pt>
                <c:pt idx="16">
                  <c:v>0.10227611867525242</c:v>
                </c:pt>
                <c:pt idx="17">
                  <c:v>4.4975834471314875E-2</c:v>
                </c:pt>
                <c:pt idx="18">
                  <c:v>2.6420869565301625E-2</c:v>
                </c:pt>
                <c:pt idx="19">
                  <c:v>2.8911622469102009E-2</c:v>
                </c:pt>
                <c:pt idx="20">
                  <c:v>4.3559694552683173E-2</c:v>
                </c:pt>
                <c:pt idx="21">
                  <c:v>2.6358762834066601E-2</c:v>
                </c:pt>
                <c:pt idx="22">
                  <c:v>1.1379323743639029E-2</c:v>
                </c:pt>
                <c:pt idx="23">
                  <c:v>4.0577174412073737E-2</c:v>
                </c:pt>
                <c:pt idx="24">
                  <c:v>4.6135021147810262E-2</c:v>
                </c:pt>
                <c:pt idx="25">
                  <c:v>9.6769872689910746E-2</c:v>
                </c:pt>
                <c:pt idx="26">
                  <c:v>9.4083417803565175E-2</c:v>
                </c:pt>
                <c:pt idx="27">
                  <c:v>1.3528796157212064E-2</c:v>
                </c:pt>
                <c:pt idx="28">
                  <c:v>4.5344536361135633E-2</c:v>
                </c:pt>
                <c:pt idx="29">
                  <c:v>7.2680552507448414E-3</c:v>
                </c:pt>
                <c:pt idx="30">
                  <c:v>-9.2142655851392315E-3</c:v>
                </c:pt>
                <c:pt idx="31">
                  <c:v>9.7113180663335361E-4</c:v>
                </c:pt>
                <c:pt idx="32">
                  <c:v>3.9049954416365926E-2</c:v>
                </c:pt>
                <c:pt idx="33">
                  <c:v>8.9801741697903947E-2</c:v>
                </c:pt>
                <c:pt idx="34">
                  <c:v>8.1893173500354341E-2</c:v>
                </c:pt>
                <c:pt idx="35">
                  <c:v>7.6395458576668157E-2</c:v>
                </c:pt>
                <c:pt idx="36">
                  <c:v>0.11855814512416787</c:v>
                </c:pt>
                <c:pt idx="37">
                  <c:v>7.1084182811948504E-2</c:v>
                </c:pt>
                <c:pt idx="38">
                  <c:v>0.19264947995645951</c:v>
                </c:pt>
                <c:pt idx="39">
                  <c:v>0.17464095725413914</c:v>
                </c:pt>
                <c:pt idx="40">
                  <c:v>0.14777320306145719</c:v>
                </c:pt>
                <c:pt idx="41">
                  <c:v>0.21845908095002761</c:v>
                </c:pt>
                <c:pt idx="42">
                  <c:v>0.27852872535960349</c:v>
                </c:pt>
                <c:pt idx="43">
                  <c:v>0.22150561892582504</c:v>
                </c:pt>
                <c:pt idx="44">
                  <c:v>0.10514554846066444</c:v>
                </c:pt>
                <c:pt idx="45">
                  <c:v>5.363248168518979E-2</c:v>
                </c:pt>
                <c:pt idx="46">
                  <c:v>0.26914923168569738</c:v>
                </c:pt>
                <c:pt idx="47">
                  <c:v>0.23759177586770086</c:v>
                </c:pt>
                <c:pt idx="48">
                  <c:v>-1.8579084983801789E-2</c:v>
                </c:pt>
                <c:pt idx="49">
                  <c:v>5.6025752433391363E-2</c:v>
                </c:pt>
                <c:pt idx="50">
                  <c:v>5.1991655311068273E-2</c:v>
                </c:pt>
                <c:pt idx="51">
                  <c:v>-5.856450381051214E-2</c:v>
                </c:pt>
                <c:pt idx="52">
                  <c:v>7.3083890880429575E-2</c:v>
                </c:pt>
                <c:pt idx="53">
                  <c:v>4.1770978555104622E-2</c:v>
                </c:pt>
                <c:pt idx="54">
                  <c:v>4.5105704976284973E-2</c:v>
                </c:pt>
                <c:pt idx="55">
                  <c:v>3.8270843305006214E-2</c:v>
                </c:pt>
                <c:pt idx="56">
                  <c:v>8.7896059503017182E-3</c:v>
                </c:pt>
                <c:pt idx="57">
                  <c:v>3.1757308318956325E-2</c:v>
                </c:pt>
                <c:pt idx="58">
                  <c:v>4.6385070556197214E-2</c:v>
                </c:pt>
                <c:pt idx="59">
                  <c:v>3.8167616302748376E-2</c:v>
                </c:pt>
                <c:pt idx="60">
                  <c:v>5.7967186814949577E-2</c:v>
                </c:pt>
                <c:pt idx="61">
                  <c:v>5.2492816427517804E-2</c:v>
                </c:pt>
                <c:pt idx="62">
                  <c:v>5.6565352017606874E-2</c:v>
                </c:pt>
                <c:pt idx="63">
                  <c:v>5.085270888139088E-2</c:v>
                </c:pt>
                <c:pt idx="64">
                  <c:v>6.0815224080537161E-2</c:v>
                </c:pt>
                <c:pt idx="65">
                  <c:v>5.9031587318339095E-2</c:v>
                </c:pt>
                <c:pt idx="66">
                  <c:v>5.9970292495664483E-2</c:v>
                </c:pt>
                <c:pt idx="67">
                  <c:v>5.728551617122353E-2</c:v>
                </c:pt>
                <c:pt idx="68">
                  <c:v>0.11600533158181692</c:v>
                </c:pt>
                <c:pt idx="69">
                  <c:v>1.1433145957655787E-2</c:v>
                </c:pt>
                <c:pt idx="70">
                  <c:v>7.4039535393879891E-2</c:v>
                </c:pt>
                <c:pt idx="71">
                  <c:v>-0.1032314486113162</c:v>
                </c:pt>
                <c:pt idx="72">
                  <c:v>-6.4297882518636218E-2</c:v>
                </c:pt>
                <c:pt idx="73">
                  <c:v>-9.273379257668854E-2</c:v>
                </c:pt>
                <c:pt idx="74">
                  <c:v>-9.2860274838919329E-2</c:v>
                </c:pt>
                <c:pt idx="75">
                  <c:v>-5.0732858548599796E-2</c:v>
                </c:pt>
                <c:pt idx="76">
                  <c:v>-0.28579888316167912</c:v>
                </c:pt>
                <c:pt idx="77">
                  <c:v>-0.30667266991766184</c:v>
                </c:pt>
                <c:pt idx="78">
                  <c:v>-0.2599517208347405</c:v>
                </c:pt>
                <c:pt idx="79">
                  <c:v>0.11455803597677527</c:v>
                </c:pt>
                <c:pt idx="80">
                  <c:v>7.7111960073012284E-2</c:v>
                </c:pt>
                <c:pt idx="81">
                  <c:v>0.10124344528870177</c:v>
                </c:pt>
                <c:pt idx="82">
                  <c:v>0.10170798224343397</c:v>
                </c:pt>
                <c:pt idx="83">
                  <c:v>0.1049337077847794</c:v>
                </c:pt>
                <c:pt idx="84">
                  <c:v>0.10329778779155083</c:v>
                </c:pt>
                <c:pt idx="85">
                  <c:v>9.9367730948955388E-2</c:v>
                </c:pt>
                <c:pt idx="86">
                  <c:v>0.1025663465280764</c:v>
                </c:pt>
                <c:pt idx="87">
                  <c:v>0.12123448779760401</c:v>
                </c:pt>
                <c:pt idx="88">
                  <c:v>3.2084329206953803E-2</c:v>
                </c:pt>
                <c:pt idx="89">
                  <c:v>0.11733715167952484</c:v>
                </c:pt>
                <c:pt idx="90">
                  <c:v>0.11998806821518729</c:v>
                </c:pt>
                <c:pt idx="91">
                  <c:v>7.1756168412483265E-2</c:v>
                </c:pt>
                <c:pt idx="92">
                  <c:v>2.5625055585816403E-2</c:v>
                </c:pt>
                <c:pt idx="93">
                  <c:v>0.10696671387584071</c:v>
                </c:pt>
                <c:pt idx="94">
                  <c:v>0.14433991945426514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2-A840-99C0-1CB52BD22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320255"/>
        <c:axId val="1063328991"/>
      </c:scatterChart>
      <c:valAx>
        <c:axId val="106332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8991"/>
        <c:crosses val="autoZero"/>
        <c:crossBetween val="midCat"/>
      </c:valAx>
      <c:valAx>
        <c:axId val="10633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0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instanteneous!$E$2:$E$33</c:f>
              <c:numCache>
                <c:formatCode>General</c:formatCode>
                <c:ptCount val="32"/>
                <c:pt idx="0">
                  <c:v>-6.1148208059439997E-2</c:v>
                </c:pt>
                <c:pt idx="1">
                  <c:v>-2.9306093999999994E-2</c:v>
                </c:pt>
                <c:pt idx="2">
                  <c:v>-0.12513318897200004</c:v>
                </c:pt>
                <c:pt idx="3">
                  <c:v>-0.33685547045359998</c:v>
                </c:pt>
                <c:pt idx="4">
                  <c:v>-0.32400446243199993</c:v>
                </c:pt>
                <c:pt idx="5">
                  <c:v>-0.31566247413120002</c:v>
                </c:pt>
                <c:pt idx="6">
                  <c:v>-0.2459835729</c:v>
                </c:pt>
                <c:pt idx="7">
                  <c:v>-0.29545607577599997</c:v>
                </c:pt>
                <c:pt idx="8">
                  <c:v>-8.3228508464800011E-2</c:v>
                </c:pt>
                <c:pt idx="9">
                  <c:v>-6.4948875304969997E-2</c:v>
                </c:pt>
                <c:pt idx="10">
                  <c:v>2.6761357805000007E-2</c:v>
                </c:pt>
                <c:pt idx="11">
                  <c:v>0.17664537141039996</c:v>
                </c:pt>
                <c:pt idx="12">
                  <c:v>0.28406002922415002</c:v>
                </c:pt>
                <c:pt idx="13">
                  <c:v>0.38573354688799993</c:v>
                </c:pt>
                <c:pt idx="14">
                  <c:v>0.42446217178200008</c:v>
                </c:pt>
                <c:pt idx="15">
                  <c:v>0.43248227092599995</c:v>
                </c:pt>
                <c:pt idx="16">
                  <c:v>0.47714064957360008</c:v>
                </c:pt>
                <c:pt idx="17">
                  <c:v>0.47638561113000005</c:v>
                </c:pt>
                <c:pt idx="18">
                  <c:v>0.45177358005000001</c:v>
                </c:pt>
                <c:pt idx="19">
                  <c:v>0.39514712245514999</c:v>
                </c:pt>
                <c:pt idx="20">
                  <c:v>0.27666213317099997</c:v>
                </c:pt>
                <c:pt idx="21">
                  <c:v>0.24313120250975001</c:v>
                </c:pt>
                <c:pt idx="22">
                  <c:v>4.3609747754800011E-2</c:v>
                </c:pt>
                <c:pt idx="23">
                  <c:v>-3.9012635865150004E-2</c:v>
                </c:pt>
                <c:pt idx="24">
                  <c:v>-0.15826543281225</c:v>
                </c:pt>
                <c:pt idx="25">
                  <c:v>-0.1248269193018</c:v>
                </c:pt>
                <c:pt idx="26">
                  <c:v>-0.13544805478399999</c:v>
                </c:pt>
                <c:pt idx="27">
                  <c:v>-0.14920073352400001</c:v>
                </c:pt>
                <c:pt idx="28">
                  <c:v>-0.15929563045499998</c:v>
                </c:pt>
                <c:pt idx="29">
                  <c:v>-0.18866788299519996</c:v>
                </c:pt>
                <c:pt idx="30">
                  <c:v>-0.17435758528709999</c:v>
                </c:pt>
                <c:pt idx="31">
                  <c:v>-0.141147260464</c:v>
                </c:pt>
              </c:numCache>
            </c:numRef>
          </c:xVal>
          <c:yVal>
            <c:numRef>
              <c:f>instanteneous!$F$2:$F$33</c:f>
              <c:numCache>
                <c:formatCode>General</c:formatCode>
                <c:ptCount val="32"/>
                <c:pt idx="0">
                  <c:v>-2.9907958844852693E-2</c:v>
                </c:pt>
                <c:pt idx="1">
                  <c:v>-1.9494779043342333E-2</c:v>
                </c:pt>
                <c:pt idx="2">
                  <c:v>-6.7602971168448836E-2</c:v>
                </c:pt>
                <c:pt idx="3">
                  <c:v>6.7391302358047874E-3</c:v>
                </c:pt>
                <c:pt idx="4">
                  <c:v>-1.4312701601386577E-2</c:v>
                </c:pt>
                <c:pt idx="5">
                  <c:v>-8.6815899809479652E-2</c:v>
                </c:pt>
                <c:pt idx="6">
                  <c:v>-0.11515813025866542</c:v>
                </c:pt>
                <c:pt idx="7">
                  <c:v>-0.18841269821425999</c:v>
                </c:pt>
                <c:pt idx="8">
                  <c:v>-0.24779686584623933</c:v>
                </c:pt>
                <c:pt idx="9">
                  <c:v>-0.16357308890519659</c:v>
                </c:pt>
                <c:pt idx="10">
                  <c:v>-0.17043164994895252</c:v>
                </c:pt>
                <c:pt idx="11">
                  <c:v>-9.9479424542214201E-2</c:v>
                </c:pt>
                <c:pt idx="12">
                  <c:v>-0.11144291918302188</c:v>
                </c:pt>
                <c:pt idx="13">
                  <c:v>-5.1666597368913554E-2</c:v>
                </c:pt>
                <c:pt idx="14">
                  <c:v>-1.4117379199358867E-3</c:v>
                </c:pt>
                <c:pt idx="15">
                  <c:v>-0.10775973669218745</c:v>
                </c:pt>
                <c:pt idx="16">
                  <c:v>8.4470255236188979E-2</c:v>
                </c:pt>
                <c:pt idx="17">
                  <c:v>5.4779955403931879E-2</c:v>
                </c:pt>
                <c:pt idx="18">
                  <c:v>0.11240012811655506</c:v>
                </c:pt>
                <c:pt idx="19">
                  <c:v>0.17394192115648235</c:v>
                </c:pt>
                <c:pt idx="20">
                  <c:v>0.17961642839652789</c:v>
                </c:pt>
                <c:pt idx="21">
                  <c:v>0.17974486858389524</c:v>
                </c:pt>
                <c:pt idx="22">
                  <c:v>0.13868940198679891</c:v>
                </c:pt>
                <c:pt idx="23">
                  <c:v>9.3174777795102887E-2</c:v>
                </c:pt>
                <c:pt idx="24">
                  <c:v>9.2382228363118296E-2</c:v>
                </c:pt>
                <c:pt idx="25">
                  <c:v>5.2385409911255537E-2</c:v>
                </c:pt>
                <c:pt idx="26">
                  <c:v>5.1706155593299642E-2</c:v>
                </c:pt>
                <c:pt idx="27">
                  <c:v>4.9061922440479196E-2</c:v>
                </c:pt>
                <c:pt idx="28">
                  <c:v>2.8529041341301211E-2</c:v>
                </c:pt>
                <c:pt idx="29">
                  <c:v>-9.1183531661432254E-2</c:v>
                </c:pt>
                <c:pt idx="30">
                  <c:v>-0.21758922448499116</c:v>
                </c:pt>
                <c:pt idx="31">
                  <c:v>-0.29643227352637236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3-48DB-8B46-344157D46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320255"/>
        <c:axId val="1063328991"/>
      </c:scatterChart>
      <c:valAx>
        <c:axId val="106332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8991"/>
        <c:crosses val="autoZero"/>
        <c:crossBetween val="midCat"/>
      </c:valAx>
      <c:valAx>
        <c:axId val="10633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0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125730</xdr:colOff>
      <xdr:row>7</xdr:row>
      <xdr:rowOff>5080</xdr:rowOff>
    </xdr:from>
    <xdr:to>
      <xdr:col>11</xdr:col>
      <xdr:colOff>735330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7297EB-6FBE-3B48-8CDF-829800CFB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12700</xdr:rowOff>
        </xdr:from>
        <xdr:to>
          <xdr:col>7</xdr:col>
          <xdr:colOff>139700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2B31C6E-2E11-424B-BC40-09A4C2DB9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2</xdr:row>
          <xdr:rowOff>0</xdr:rowOff>
        </xdr:from>
        <xdr:to>
          <xdr:col>7</xdr:col>
          <xdr:colOff>774700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38309FDD-9409-1442-9B03-0862EBDCE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12700</xdr:rowOff>
        </xdr:from>
        <xdr:to>
          <xdr:col>8</xdr:col>
          <xdr:colOff>279400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BB9681F9-D1A5-FE41-B1EE-327B7BC48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2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1A29B63E-606F-E647-8385-F836BA481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125730</xdr:colOff>
      <xdr:row>7</xdr:row>
      <xdr:rowOff>5080</xdr:rowOff>
    </xdr:from>
    <xdr:to>
      <xdr:col>11</xdr:col>
      <xdr:colOff>735330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10D67-B493-3947-BC5B-CC773834C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12700</xdr:rowOff>
        </xdr:from>
        <xdr:to>
          <xdr:col>7</xdr:col>
          <xdr:colOff>139700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FDDB46A-C553-CC4D-85F0-82356304B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2</xdr:row>
          <xdr:rowOff>0</xdr:rowOff>
        </xdr:from>
        <xdr:to>
          <xdr:col>7</xdr:col>
          <xdr:colOff>774700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38FEE9D-777C-AE47-8D59-525D8065A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12700</xdr:rowOff>
        </xdr:from>
        <xdr:to>
          <xdr:col>8</xdr:col>
          <xdr:colOff>279400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5C126BA-F651-FF40-842E-22FF03FD4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2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A5F7B72-14EC-0545-BE86-5899B94D9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125730</xdr:colOff>
      <xdr:row>7</xdr:row>
      <xdr:rowOff>5080</xdr:rowOff>
    </xdr:from>
    <xdr:to>
      <xdr:col>11</xdr:col>
      <xdr:colOff>735330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12700</xdr:rowOff>
        </xdr:from>
        <xdr:to>
          <xdr:col>7</xdr:col>
          <xdr:colOff>139700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2</xdr:row>
          <xdr:rowOff>0</xdr:rowOff>
        </xdr:from>
        <xdr:to>
          <xdr:col>7</xdr:col>
          <xdr:colOff>774700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12700</xdr:rowOff>
        </xdr:from>
        <xdr:to>
          <xdr:col>8</xdr:col>
          <xdr:colOff>279400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2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celerometer_1679293146292_807c3385-f928-48c5-aede-a9998e462582" connectionId="1" xr16:uid="{9BD74017-5BC1-4943-BE84-5A9272B52DB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99891-4324-A64D-A431-FE62D6F25547}">
  <sheetPr codeName="Sheet4"/>
  <dimension ref="A1:W40"/>
  <sheetViews>
    <sheetView workbookViewId="0">
      <selection activeCell="D2" sqref="D2"/>
    </sheetView>
  </sheetViews>
  <sheetFormatPr baseColWidth="10" defaultColWidth="8.7109375" defaultRowHeight="19" x14ac:dyDescent="0.25"/>
  <sheetData>
    <row r="1" spans="1:23" x14ac:dyDescent="0.25">
      <c r="A1">
        <v>0</v>
      </c>
      <c r="B1">
        <v>0</v>
      </c>
      <c r="C1">
        <v>0</v>
      </c>
      <c r="H1">
        <f>3.14159/180*H2</f>
        <v>0</v>
      </c>
      <c r="I1">
        <f>3.14159/180*I2</f>
        <v>0</v>
      </c>
      <c r="R1" t="s">
        <v>10</v>
      </c>
      <c r="U1" s="2"/>
      <c r="V1" s="2"/>
      <c r="W1" s="2"/>
    </row>
    <row r="2" spans="1:23" x14ac:dyDescent="0.25">
      <c r="A2">
        <f>(N2)*$M2^2/2000000</f>
        <v>-0.26588304215160002</v>
      </c>
      <c r="B2">
        <f t="shared" ref="B2:C2" si="0">(O2)*$M2^2/2000000</f>
        <v>0.68137478126350004</v>
      </c>
      <c r="C2">
        <f t="shared" si="0"/>
        <v>0.13385804967464998</v>
      </c>
      <c r="D2">
        <f>SIGN(B2)*COS(ATAN(A2/B2)+$H$1)*SQRT(SUMSQ(A2:B2))</f>
        <v>0.68137478126350004</v>
      </c>
      <c r="E2">
        <f>SIGN(B2)*SIN(ATAN(A2/B2)+$H$1)*SQRT(SUMSQ(A2:B2))</f>
        <v>-0.26588304215159997</v>
      </c>
      <c r="F2">
        <f t="shared" ref="F2:F33" si="1">SIGN(D2)*COS(ATAN(C2/D2)+$I$1)*SQRT(SUMSQ(C2:D2))</f>
        <v>0.68137478126350004</v>
      </c>
      <c r="H2">
        <v>0</v>
      </c>
      <c r="I2">
        <v>0</v>
      </c>
      <c r="M2">
        <v>389</v>
      </c>
      <c r="N2">
        <v>-3.5141591999999999</v>
      </c>
      <c r="O2">
        <v>9.005687</v>
      </c>
      <c r="P2">
        <v>1.7691933</v>
      </c>
      <c r="U2" s="2"/>
      <c r="V2" s="2"/>
      <c r="W2" s="2"/>
    </row>
    <row r="3" spans="1:23" x14ac:dyDescent="0.25">
      <c r="A3">
        <f t="shared" ref="A3:A40" si="2">(N3)*$M3^2/2000000</f>
        <v>-7.2312206136999999E-2</v>
      </c>
      <c r="B3">
        <f t="shared" ref="B3:B40" si="3">(O3)*$M3^2/2000000</f>
        <v>0.18341671386799999</v>
      </c>
      <c r="C3">
        <f t="shared" ref="C3:C40" si="4">(P3)*$M3^2/2000000</f>
        <v>3.6510035944399999E-2</v>
      </c>
      <c r="D3">
        <f t="shared" ref="D2:D33" si="5">SIGN(B3)*COS(ATAN(A3/B3)+$H$1)*SQRT(SUMSQ(A3:B3))</f>
        <v>0.18341671386799999</v>
      </c>
      <c r="E3" s="5">
        <f t="shared" ref="E2:E33" si="6">SIGN(B3)*SIN(ATAN(A3/B3)+$H$1)*SQRT(SUMSQ(A3:B3))</f>
        <v>-7.2312206136999999E-2</v>
      </c>
      <c r="F3" s="5">
        <f t="shared" si="1"/>
        <v>0.18341671386800001</v>
      </c>
      <c r="H3" s="1">
        <v>10</v>
      </c>
      <c r="I3" s="1">
        <v>10</v>
      </c>
      <c r="M3">
        <v>202</v>
      </c>
      <c r="N3">
        <v>-3.5443685</v>
      </c>
      <c r="O3">
        <v>8.9901339999999994</v>
      </c>
      <c r="P3">
        <v>1.7895322</v>
      </c>
      <c r="U3" s="2"/>
      <c r="V3" s="2"/>
      <c r="W3" s="2"/>
    </row>
    <row r="4" spans="1:23" x14ac:dyDescent="0.25">
      <c r="A4">
        <f t="shared" si="2"/>
        <v>-0.25925890981919997</v>
      </c>
      <c r="B4">
        <f t="shared" si="3"/>
        <v>0.65862235592600005</v>
      </c>
      <c r="C4">
        <f t="shared" si="4"/>
        <v>0.12127119085280001</v>
      </c>
      <c r="D4">
        <f t="shared" si="5"/>
        <v>0.65862235592600005</v>
      </c>
      <c r="E4">
        <f t="shared" si="6"/>
        <v>-0.25925890981919997</v>
      </c>
      <c r="F4">
        <f t="shared" si="1"/>
        <v>0.65862235592600005</v>
      </c>
      <c r="H4" t="s">
        <v>8</v>
      </c>
      <c r="I4" t="s">
        <v>9</v>
      </c>
      <c r="M4">
        <v>382</v>
      </c>
      <c r="N4">
        <v>-3.5533416</v>
      </c>
      <c r="O4">
        <v>9.026923</v>
      </c>
      <c r="P4">
        <v>1.6621144000000001</v>
      </c>
      <c r="U4" s="2"/>
      <c r="V4" s="2"/>
      <c r="W4" s="2"/>
    </row>
    <row r="5" spans="1:23" x14ac:dyDescent="0.25">
      <c r="A5">
        <f t="shared" si="2"/>
        <v>-0.25319116980035</v>
      </c>
      <c r="B5">
        <f t="shared" si="3"/>
        <v>0.69667581226100006</v>
      </c>
      <c r="C5">
        <f t="shared" si="4"/>
        <v>0.11431785320509999</v>
      </c>
      <c r="D5">
        <f t="shared" si="5"/>
        <v>0.69667581226100006</v>
      </c>
      <c r="E5">
        <f t="shared" si="6"/>
        <v>-0.25319116980035006</v>
      </c>
      <c r="F5">
        <f t="shared" si="1"/>
        <v>0.69667581226100006</v>
      </c>
      <c r="M5">
        <v>391</v>
      </c>
      <c r="N5">
        <v>-3.3122647000000001</v>
      </c>
      <c r="O5">
        <v>9.1139620000000008</v>
      </c>
      <c r="P5">
        <v>1.4955141999999999</v>
      </c>
      <c r="U5" s="2"/>
      <c r="V5" s="2"/>
      <c r="W5" s="2"/>
    </row>
    <row r="6" spans="1:23" x14ac:dyDescent="0.25">
      <c r="A6">
        <f t="shared" si="2"/>
        <v>-0.2538411543054</v>
      </c>
      <c r="B6">
        <f t="shared" si="3"/>
        <v>0.70993804336099997</v>
      </c>
      <c r="C6">
        <f t="shared" si="4"/>
        <v>5.1887229386399995E-2</v>
      </c>
      <c r="D6">
        <f t="shared" si="5"/>
        <v>0.70993804336100008</v>
      </c>
      <c r="E6">
        <f t="shared" si="6"/>
        <v>-0.2538411543054</v>
      </c>
      <c r="F6">
        <f t="shared" si="1"/>
        <v>0.70993804336100008</v>
      </c>
      <c r="M6">
        <v>394</v>
      </c>
      <c r="N6">
        <v>-3.2703902999999999</v>
      </c>
      <c r="O6">
        <v>9.1465645000000002</v>
      </c>
      <c r="P6">
        <v>0.66849479999999994</v>
      </c>
      <c r="U6" s="2"/>
      <c r="V6" s="2"/>
      <c r="W6" s="2"/>
    </row>
    <row r="7" spans="1:23" x14ac:dyDescent="0.25">
      <c r="A7">
        <f t="shared" si="2"/>
        <v>-0.23164345033035</v>
      </c>
      <c r="B7">
        <f t="shared" si="3"/>
        <v>0.72926046303449998</v>
      </c>
      <c r="C7">
        <f t="shared" si="4"/>
        <v>6.73024207539E-2</v>
      </c>
      <c r="D7">
        <f t="shared" si="5"/>
        <v>0.72926046303449998</v>
      </c>
      <c r="E7">
        <f t="shared" si="6"/>
        <v>-0.23164345033035003</v>
      </c>
      <c r="F7">
        <f t="shared" si="1"/>
        <v>0.72926046303449998</v>
      </c>
      <c r="M7">
        <v>389</v>
      </c>
      <c r="N7">
        <v>-3.0616167000000001</v>
      </c>
      <c r="O7">
        <v>9.6385889999999996</v>
      </c>
      <c r="P7">
        <v>0.88953179999999998</v>
      </c>
      <c r="U7" s="2"/>
      <c r="V7" s="2"/>
      <c r="W7" s="2"/>
    </row>
    <row r="8" spans="1:23" x14ac:dyDescent="0.25">
      <c r="A8">
        <f t="shared" si="2"/>
        <v>-0.15654031806399998</v>
      </c>
      <c r="B8">
        <f t="shared" si="3"/>
        <v>0.74667904563999998</v>
      </c>
      <c r="C8">
        <f t="shared" si="4"/>
        <v>6.1485918145599991E-2</v>
      </c>
      <c r="D8">
        <f t="shared" si="5"/>
        <v>0.74667904563999998</v>
      </c>
      <c r="E8">
        <f t="shared" si="6"/>
        <v>-0.15654031806399998</v>
      </c>
      <c r="F8">
        <f t="shared" si="1"/>
        <v>0.74667904563999998</v>
      </c>
      <c r="M8">
        <v>388</v>
      </c>
      <c r="N8">
        <v>-2.0796619999999999</v>
      </c>
      <c r="O8">
        <v>9.9197450000000007</v>
      </c>
      <c r="P8">
        <v>0.81684979999999996</v>
      </c>
      <c r="U8" s="2"/>
      <c r="V8" s="2"/>
      <c r="W8" s="2"/>
    </row>
    <row r="9" spans="1:23" x14ac:dyDescent="0.25">
      <c r="A9">
        <f t="shared" si="2"/>
        <v>-0.1200739946336</v>
      </c>
      <c r="B9">
        <f t="shared" si="3"/>
        <v>0.75974093887999994</v>
      </c>
      <c r="C9">
        <f t="shared" si="4"/>
        <v>3.5390229067200005E-2</v>
      </c>
      <c r="D9">
        <f t="shared" si="5"/>
        <v>0.75974093887999994</v>
      </c>
      <c r="E9">
        <f t="shared" si="6"/>
        <v>-0.1200739946336</v>
      </c>
      <c r="F9">
        <f t="shared" si="1"/>
        <v>0.75974093887999994</v>
      </c>
      <c r="M9">
        <v>392</v>
      </c>
      <c r="N9">
        <v>-1.5628123</v>
      </c>
      <c r="O9">
        <v>9.8883399999999995</v>
      </c>
      <c r="P9">
        <v>0.46061835000000001</v>
      </c>
      <c r="U9" s="2"/>
      <c r="V9" s="2"/>
      <c r="W9" s="2"/>
    </row>
    <row r="10" spans="1:23" x14ac:dyDescent="0.25">
      <c r="A10">
        <f t="shared" si="2"/>
        <v>-0.117343327328</v>
      </c>
      <c r="B10">
        <f t="shared" si="3"/>
        <v>0.76561334087999999</v>
      </c>
      <c r="C10">
        <f t="shared" si="4"/>
        <v>8.8142578627199999E-2</v>
      </c>
      <c r="D10">
        <f t="shared" si="5"/>
        <v>0.76561334087999988</v>
      </c>
      <c r="E10">
        <f t="shared" si="6"/>
        <v>-0.11734332732799997</v>
      </c>
      <c r="F10">
        <f t="shared" si="1"/>
        <v>0.76561334087999988</v>
      </c>
      <c r="M10">
        <v>388</v>
      </c>
      <c r="N10">
        <v>-1.558924</v>
      </c>
      <c r="O10">
        <v>10.171290000000001</v>
      </c>
      <c r="P10">
        <v>1.1709875999999999</v>
      </c>
      <c r="U10" s="2"/>
      <c r="V10" s="2"/>
      <c r="W10" s="2"/>
    </row>
    <row r="11" spans="1:23" x14ac:dyDescent="0.25">
      <c r="A11">
        <f t="shared" si="2"/>
        <v>-5.6262658575999998E-2</v>
      </c>
      <c r="B11">
        <f t="shared" si="3"/>
        <v>0.739429524048</v>
      </c>
      <c r="C11">
        <f t="shared" si="4"/>
        <v>0.13416133523359999</v>
      </c>
      <c r="D11">
        <f t="shared" si="5"/>
        <v>0.739429524048</v>
      </c>
      <c r="E11">
        <f t="shared" si="6"/>
        <v>-5.6262658576000005E-2</v>
      </c>
      <c r="F11">
        <f t="shared" si="1"/>
        <v>0.739429524048</v>
      </c>
      <c r="M11">
        <v>388</v>
      </c>
      <c r="N11">
        <v>-0.74745799999999996</v>
      </c>
      <c r="O11">
        <v>9.8234340000000007</v>
      </c>
      <c r="P11">
        <v>1.7823538000000001</v>
      </c>
      <c r="U11" s="2"/>
      <c r="V11" s="2"/>
      <c r="W11" s="2"/>
    </row>
    <row r="12" spans="1:23" x14ac:dyDescent="0.25">
      <c r="A12">
        <f t="shared" si="2"/>
        <v>-3.6849766648500001E-3</v>
      </c>
      <c r="B12">
        <f t="shared" si="3"/>
        <v>0.74068038135000003</v>
      </c>
      <c r="C12">
        <f t="shared" si="4"/>
        <v>0.27145996546500001</v>
      </c>
      <c r="D12">
        <f t="shared" si="5"/>
        <v>0.74068038135000003</v>
      </c>
      <c r="E12">
        <f t="shared" si="6"/>
        <v>-3.6849766648500001E-3</v>
      </c>
      <c r="F12">
        <f t="shared" si="1"/>
        <v>0.74068038135000003</v>
      </c>
      <c r="M12">
        <v>390</v>
      </c>
      <c r="N12">
        <v>-4.8454656999999998E-2</v>
      </c>
      <c r="O12">
        <v>9.7393870000000007</v>
      </c>
      <c r="P12">
        <v>3.5694933</v>
      </c>
      <c r="U12" s="2"/>
      <c r="V12" s="2"/>
      <c r="W12" s="2"/>
    </row>
    <row r="13" spans="1:23" x14ac:dyDescent="0.25">
      <c r="A13">
        <f t="shared" si="2"/>
        <v>1.2542973278355001E-2</v>
      </c>
      <c r="B13">
        <f t="shared" si="3"/>
        <v>0.69098346919349996</v>
      </c>
      <c r="C13">
        <f t="shared" si="4"/>
        <v>0.25148661576615</v>
      </c>
      <c r="D13">
        <f t="shared" si="5"/>
        <v>0.69098346919350007</v>
      </c>
      <c r="E13">
        <f t="shared" si="6"/>
        <v>1.2542973278355001E-2</v>
      </c>
      <c r="F13">
        <f t="shared" si="1"/>
        <v>0.69098346919349996</v>
      </c>
      <c r="M13">
        <v>387</v>
      </c>
      <c r="N13">
        <v>0.16749759</v>
      </c>
      <c r="O13">
        <v>9.2273230000000002</v>
      </c>
      <c r="P13">
        <v>3.3583267000000001</v>
      </c>
      <c r="U13" s="2"/>
      <c r="V13" s="2"/>
      <c r="W13" s="2"/>
    </row>
    <row r="14" spans="1:23" x14ac:dyDescent="0.25">
      <c r="A14">
        <f t="shared" si="2"/>
        <v>9.9377097752800014E-2</v>
      </c>
      <c r="B14">
        <f t="shared" si="3"/>
        <v>0.64995866560000004</v>
      </c>
      <c r="C14">
        <f t="shared" si="4"/>
        <v>0.30326448987999993</v>
      </c>
      <c r="D14">
        <f t="shared" si="5"/>
        <v>0.64995866560000004</v>
      </c>
      <c r="E14">
        <f t="shared" si="6"/>
        <v>9.93770977528E-2</v>
      </c>
      <c r="F14">
        <f t="shared" si="1"/>
        <v>0.64995866560000004</v>
      </c>
      <c r="M14">
        <v>388</v>
      </c>
      <c r="N14">
        <v>1.3202399</v>
      </c>
      <c r="O14">
        <v>8.6348000000000003</v>
      </c>
      <c r="P14">
        <v>4.0289149999999996</v>
      </c>
      <c r="U14" s="2"/>
      <c r="V14" s="2"/>
      <c r="W14" s="2"/>
    </row>
    <row r="15" spans="1:23" x14ac:dyDescent="0.25">
      <c r="A15">
        <f t="shared" si="2"/>
        <v>0.1831519508352</v>
      </c>
      <c r="B15">
        <f t="shared" si="3"/>
        <v>0.59261532692000007</v>
      </c>
      <c r="C15">
        <f t="shared" si="4"/>
        <v>0.39989488224400005</v>
      </c>
      <c r="D15">
        <f t="shared" si="5"/>
        <v>0.59261532692000007</v>
      </c>
      <c r="E15">
        <f t="shared" si="6"/>
        <v>0.1831519508352</v>
      </c>
      <c r="F15">
        <f t="shared" si="1"/>
        <v>0.59261532692000007</v>
      </c>
      <c r="M15">
        <v>388</v>
      </c>
      <c r="N15">
        <v>2.4332015999999999</v>
      </c>
      <c r="O15">
        <v>7.8729849999999999</v>
      </c>
      <c r="P15">
        <v>5.3126645000000003</v>
      </c>
      <c r="U15" s="2"/>
      <c r="V15" s="2"/>
      <c r="W15" s="2"/>
    </row>
    <row r="16" spans="1:23" x14ac:dyDescent="0.25">
      <c r="A16">
        <f t="shared" si="2"/>
        <v>0.25520317548895</v>
      </c>
      <c r="B16">
        <f t="shared" si="3"/>
        <v>0.5257935025778</v>
      </c>
      <c r="C16">
        <f t="shared" si="4"/>
        <v>0.42635985305879998</v>
      </c>
      <c r="D16">
        <f t="shared" si="5"/>
        <v>0.5257935025778</v>
      </c>
      <c r="E16">
        <f t="shared" si="6"/>
        <v>0.25520317548895</v>
      </c>
      <c r="F16">
        <f t="shared" si="1"/>
        <v>0.52579350257780011</v>
      </c>
      <c r="M16">
        <v>391</v>
      </c>
      <c r="N16">
        <v>3.3385859</v>
      </c>
      <c r="O16">
        <v>6.8784675999999996</v>
      </c>
      <c r="P16">
        <v>5.5776696000000001</v>
      </c>
      <c r="U16" s="2"/>
      <c r="V16" s="2"/>
      <c r="W16" s="2"/>
    </row>
    <row r="17" spans="1:23" x14ac:dyDescent="0.25">
      <c r="A17">
        <f t="shared" si="2"/>
        <v>0.33264207250349997</v>
      </c>
      <c r="B17">
        <f t="shared" si="3"/>
        <v>0.32018143015799999</v>
      </c>
      <c r="C17">
        <f t="shared" si="4"/>
        <v>0.55935723428334994</v>
      </c>
      <c r="D17">
        <f t="shared" si="5"/>
        <v>0.32018143015800005</v>
      </c>
      <c r="E17">
        <f t="shared" si="6"/>
        <v>0.33264207250350003</v>
      </c>
      <c r="F17">
        <f t="shared" si="1"/>
        <v>0.32018143015799999</v>
      </c>
      <c r="M17">
        <v>391</v>
      </c>
      <c r="N17">
        <v>4.3516469999999998</v>
      </c>
      <c r="O17">
        <v>4.1886359999999998</v>
      </c>
      <c r="P17">
        <v>7.3175507</v>
      </c>
      <c r="U17" s="2"/>
      <c r="V17" s="2"/>
      <c r="W17" s="2"/>
    </row>
    <row r="18" spans="1:23" x14ac:dyDescent="0.25">
      <c r="A18">
        <f t="shared" si="2"/>
        <v>0.3316982178108</v>
      </c>
      <c r="B18">
        <f t="shared" si="3"/>
        <v>0.24586579409879999</v>
      </c>
      <c r="C18">
        <f t="shared" si="4"/>
        <v>0.58286726378659992</v>
      </c>
      <c r="D18">
        <f t="shared" si="5"/>
        <v>0.24586579409879997</v>
      </c>
      <c r="E18">
        <f t="shared" si="6"/>
        <v>0.3316982178108</v>
      </c>
      <c r="F18">
        <f t="shared" si="1"/>
        <v>0.24586579409879999</v>
      </c>
      <c r="M18">
        <v>386</v>
      </c>
      <c r="N18">
        <v>4.4524445999999998</v>
      </c>
      <c r="O18">
        <v>3.3003005999999999</v>
      </c>
      <c r="P18">
        <v>7.8239317000000002</v>
      </c>
      <c r="U18" s="2"/>
      <c r="V18" s="2"/>
      <c r="W18" s="2"/>
    </row>
    <row r="19" spans="1:23" x14ac:dyDescent="0.25">
      <c r="A19">
        <f t="shared" si="2"/>
        <v>0.34685174259759999</v>
      </c>
      <c r="B19">
        <f t="shared" si="3"/>
        <v>0.18772230107679999</v>
      </c>
      <c r="C19">
        <f t="shared" si="4"/>
        <v>0.6135308564719999</v>
      </c>
      <c r="D19">
        <f t="shared" si="5"/>
        <v>0.18772230107680002</v>
      </c>
      <c r="E19">
        <f t="shared" si="6"/>
        <v>0.34685174259760004</v>
      </c>
      <c r="F19">
        <f t="shared" si="1"/>
        <v>0.18772230107680002</v>
      </c>
      <c r="M19">
        <v>388</v>
      </c>
      <c r="N19">
        <v>4.6079783000000001</v>
      </c>
      <c r="O19">
        <v>2.4939193999999998</v>
      </c>
      <c r="P19">
        <v>8.1508509999999994</v>
      </c>
    </row>
    <row r="20" spans="1:23" x14ac:dyDescent="0.25">
      <c r="A20">
        <f t="shared" si="2"/>
        <v>0.34058556673084994</v>
      </c>
      <c r="B20">
        <f t="shared" si="3"/>
        <v>0.18095162653905</v>
      </c>
      <c r="C20">
        <f t="shared" si="4"/>
        <v>0.55788141052150009</v>
      </c>
      <c r="D20">
        <f t="shared" si="5"/>
        <v>0.18095162653904998</v>
      </c>
      <c r="E20">
        <f t="shared" si="6"/>
        <v>0.34058556673084994</v>
      </c>
      <c r="F20">
        <f t="shared" si="1"/>
        <v>0.18095162653904998</v>
      </c>
      <c r="M20">
        <v>389</v>
      </c>
      <c r="N20">
        <v>4.5014976999999998</v>
      </c>
      <c r="O20">
        <v>2.3916260999999999</v>
      </c>
      <c r="P20">
        <v>7.3734830000000002</v>
      </c>
    </row>
    <row r="21" spans="1:23" x14ac:dyDescent="0.25">
      <c r="A21">
        <f t="shared" si="2"/>
        <v>0.10616356</v>
      </c>
      <c r="B21">
        <f t="shared" si="3"/>
        <v>8.4843511999999996E-2</v>
      </c>
      <c r="C21">
        <f t="shared" si="4"/>
        <v>0.13465011999999998</v>
      </c>
      <c r="D21">
        <f t="shared" si="5"/>
        <v>8.4843511999999996E-2</v>
      </c>
      <c r="E21">
        <f t="shared" si="6"/>
        <v>0.10616356</v>
      </c>
      <c r="F21">
        <f t="shared" si="1"/>
        <v>8.4843511999999968E-2</v>
      </c>
      <c r="M21">
        <v>200</v>
      </c>
      <c r="N21">
        <v>5.3081779999999998</v>
      </c>
      <c r="O21">
        <v>4.2421756000000004</v>
      </c>
      <c r="P21">
        <v>6.7325059999999999</v>
      </c>
    </row>
    <row r="22" spans="1:23" x14ac:dyDescent="0.25">
      <c r="A22">
        <f t="shared" si="2"/>
        <v>0.27178539078920005</v>
      </c>
      <c r="B22">
        <f t="shared" si="3"/>
        <v>0.490846091002</v>
      </c>
      <c r="C22">
        <f t="shared" si="4"/>
        <v>0.46956854775199997</v>
      </c>
      <c r="D22">
        <f t="shared" si="5"/>
        <v>0.49084609100199994</v>
      </c>
      <c r="E22">
        <f t="shared" si="6"/>
        <v>0.2717853907892</v>
      </c>
      <c r="F22">
        <f t="shared" si="1"/>
        <v>0.49084609100199994</v>
      </c>
      <c r="M22">
        <v>382</v>
      </c>
      <c r="N22">
        <v>3.7250266000000001</v>
      </c>
      <c r="O22">
        <v>6.7274209999999997</v>
      </c>
      <c r="P22">
        <v>6.4357959999999999</v>
      </c>
    </row>
    <row r="23" spans="1:23" x14ac:dyDescent="0.25">
      <c r="A23">
        <f t="shared" si="2"/>
        <v>6.265606E-2</v>
      </c>
      <c r="B23">
        <f t="shared" si="3"/>
        <v>0.17099112000000002</v>
      </c>
      <c r="C23">
        <f t="shared" si="4"/>
        <v>0.122464666</v>
      </c>
      <c r="D23">
        <f t="shared" si="5"/>
        <v>0.17099112</v>
      </c>
      <c r="E23">
        <f t="shared" si="6"/>
        <v>6.265606E-2</v>
      </c>
      <c r="F23">
        <f t="shared" si="1"/>
        <v>0.17099112</v>
      </c>
      <c r="M23">
        <v>200</v>
      </c>
      <c r="N23">
        <v>3.132803</v>
      </c>
      <c r="O23">
        <v>8.5495560000000008</v>
      </c>
      <c r="P23">
        <v>6.1232332999999999</v>
      </c>
    </row>
    <row r="24" spans="1:23" x14ac:dyDescent="0.25">
      <c r="A24">
        <f t="shared" si="2"/>
        <v>7.8568317426799997E-2</v>
      </c>
      <c r="B24">
        <f t="shared" si="3"/>
        <v>0.54543258497140001</v>
      </c>
      <c r="C24">
        <f t="shared" si="4"/>
        <v>0.36354003377400002</v>
      </c>
      <c r="D24">
        <f t="shared" si="5"/>
        <v>0.54543258497140001</v>
      </c>
      <c r="E24">
        <f t="shared" si="6"/>
        <v>7.8568317426799983E-2</v>
      </c>
      <c r="F24">
        <f t="shared" si="1"/>
        <v>0.54543258497140001</v>
      </c>
      <c r="M24">
        <v>386</v>
      </c>
      <c r="N24">
        <v>1.0546366</v>
      </c>
      <c r="O24">
        <v>7.3214392999999998</v>
      </c>
      <c r="P24">
        <v>4.8798630000000003</v>
      </c>
    </row>
    <row r="25" spans="1:23" x14ac:dyDescent="0.25">
      <c r="A25">
        <f t="shared" si="2"/>
        <v>-9.8882821490399994E-2</v>
      </c>
      <c r="B25">
        <f t="shared" si="3"/>
        <v>0.71788791004200003</v>
      </c>
      <c r="C25">
        <f t="shared" si="4"/>
        <v>0.26973921676859997</v>
      </c>
      <c r="D25">
        <f t="shared" si="5"/>
        <v>0.71788791004200003</v>
      </c>
      <c r="E25">
        <f t="shared" si="6"/>
        <v>-9.8882821490399994E-2</v>
      </c>
      <c r="F25">
        <f t="shared" si="1"/>
        <v>0.71788791004200003</v>
      </c>
      <c r="M25">
        <v>393</v>
      </c>
      <c r="N25">
        <v>-1.2804591999999999</v>
      </c>
      <c r="O25">
        <v>9.2961159999999996</v>
      </c>
      <c r="P25">
        <v>3.4929228000000001</v>
      </c>
    </row>
    <row r="26" spans="1:23" x14ac:dyDescent="0.25">
      <c r="A26">
        <f t="shared" si="2"/>
        <v>-0.1424301336696</v>
      </c>
      <c r="B26">
        <f t="shared" si="3"/>
        <v>0.71598329245600012</v>
      </c>
      <c r="C26">
        <f t="shared" si="4"/>
        <v>0.16221704831299999</v>
      </c>
      <c r="D26">
        <f t="shared" si="5"/>
        <v>0.71598329245600012</v>
      </c>
      <c r="E26">
        <f t="shared" si="6"/>
        <v>-0.1424301336696</v>
      </c>
      <c r="F26">
        <f t="shared" si="1"/>
        <v>0.71598329245600012</v>
      </c>
      <c r="M26">
        <v>386</v>
      </c>
      <c r="N26">
        <v>-1.9118652</v>
      </c>
      <c r="O26">
        <v>9.6107720000000008</v>
      </c>
      <c r="P26">
        <v>2.1774684999999998</v>
      </c>
    </row>
    <row r="27" spans="1:23" x14ac:dyDescent="0.25">
      <c r="A27">
        <f t="shared" si="2"/>
        <v>-0.155326337152</v>
      </c>
      <c r="B27">
        <f t="shared" si="3"/>
        <v>0.74795179838399994</v>
      </c>
      <c r="C27">
        <f t="shared" si="4"/>
        <v>1.188100544512E-2</v>
      </c>
      <c r="D27">
        <f t="shared" si="5"/>
        <v>0.74795179838399994</v>
      </c>
      <c r="E27">
        <f t="shared" si="6"/>
        <v>-0.15532633715199998</v>
      </c>
      <c r="F27">
        <f t="shared" si="1"/>
        <v>0.74795179838399983</v>
      </c>
      <c r="M27">
        <v>392</v>
      </c>
      <c r="N27">
        <v>-2.021636</v>
      </c>
      <c r="O27">
        <v>9.7348994999999992</v>
      </c>
      <c r="P27">
        <v>0.15463615999999999</v>
      </c>
    </row>
    <row r="28" spans="1:23" x14ac:dyDescent="0.25">
      <c r="A28">
        <f t="shared" si="2"/>
        <v>-0.20597201001000001</v>
      </c>
      <c r="B28">
        <f t="shared" si="3"/>
        <v>0.73792797974999991</v>
      </c>
      <c r="C28">
        <f t="shared" si="4"/>
        <v>-0.18290677509</v>
      </c>
      <c r="D28">
        <f t="shared" si="5"/>
        <v>0.73792797974999991</v>
      </c>
      <c r="E28">
        <f t="shared" si="6"/>
        <v>-0.20597201001000004</v>
      </c>
      <c r="F28">
        <f t="shared" si="1"/>
        <v>0.73792797974999991</v>
      </c>
      <c r="M28">
        <v>390</v>
      </c>
      <c r="N28">
        <v>-2.7083762</v>
      </c>
      <c r="O28">
        <v>9.7031949999999991</v>
      </c>
      <c r="P28">
        <v>-2.4050858000000002</v>
      </c>
    </row>
    <row r="29" spans="1:23" x14ac:dyDescent="0.25">
      <c r="A29">
        <f t="shared" si="2"/>
        <v>-0.19458420673999999</v>
      </c>
      <c r="B29">
        <f t="shared" si="3"/>
        <v>0.68829338558750008</v>
      </c>
      <c r="C29">
        <f t="shared" si="4"/>
        <v>-0.15463879950750004</v>
      </c>
      <c r="D29">
        <f t="shared" si="5"/>
        <v>0.68829338558750019</v>
      </c>
      <c r="E29">
        <f t="shared" si="6"/>
        <v>-0.19458420674000002</v>
      </c>
      <c r="F29">
        <f t="shared" si="1"/>
        <v>0.68829338558750019</v>
      </c>
      <c r="M29">
        <v>385</v>
      </c>
      <c r="N29">
        <v>-2.6255248</v>
      </c>
      <c r="O29">
        <v>9.2871430000000004</v>
      </c>
      <c r="P29">
        <v>-2.0865414000000002</v>
      </c>
    </row>
    <row r="30" spans="1:23" x14ac:dyDescent="0.25">
      <c r="A30">
        <f t="shared" si="2"/>
        <v>-0.16042804341759997</v>
      </c>
      <c r="B30">
        <f t="shared" si="3"/>
        <v>0.71934082931199994</v>
      </c>
      <c r="C30">
        <f t="shared" si="4"/>
        <v>-0.26616210588799999</v>
      </c>
      <c r="D30">
        <f t="shared" si="5"/>
        <v>0.71934082931199983</v>
      </c>
      <c r="E30">
        <f t="shared" si="6"/>
        <v>-0.16042804341759995</v>
      </c>
      <c r="F30">
        <f t="shared" si="1"/>
        <v>0.71934082931199983</v>
      </c>
      <c r="M30">
        <v>392</v>
      </c>
      <c r="N30">
        <v>-2.0880367999999998</v>
      </c>
      <c r="O30">
        <v>9.3625159999999994</v>
      </c>
      <c r="P30">
        <v>-3.4642089999999999</v>
      </c>
    </row>
    <row r="31" spans="1:23" x14ac:dyDescent="0.25">
      <c r="A31">
        <f t="shared" si="2"/>
        <v>-0.11587204629</v>
      </c>
      <c r="B31">
        <f t="shared" si="3"/>
        <v>0.70085071484999995</v>
      </c>
      <c r="C31">
        <f t="shared" si="4"/>
        <v>-0.26472690913500002</v>
      </c>
      <c r="D31">
        <f t="shared" si="5"/>
        <v>0.70085071484999995</v>
      </c>
      <c r="E31">
        <f t="shared" si="6"/>
        <v>-0.11587204628999999</v>
      </c>
      <c r="F31">
        <f t="shared" si="1"/>
        <v>0.70085071484999995</v>
      </c>
      <c r="M31">
        <v>390</v>
      </c>
      <c r="N31">
        <v>-1.5236297999999999</v>
      </c>
      <c r="O31">
        <v>9.2156570000000002</v>
      </c>
      <c r="P31">
        <v>-3.4809587</v>
      </c>
    </row>
    <row r="32" spans="1:23" x14ac:dyDescent="0.25">
      <c r="A32">
        <f t="shared" si="2"/>
        <v>-9.0197414239949994E-2</v>
      </c>
      <c r="B32">
        <f t="shared" si="3"/>
        <v>0.69396237460349997</v>
      </c>
      <c r="C32">
        <f t="shared" si="4"/>
        <v>-0.23052192119234999</v>
      </c>
      <c r="D32">
        <f t="shared" si="5"/>
        <v>0.69396237460349985</v>
      </c>
      <c r="E32">
        <f t="shared" si="6"/>
        <v>-9.0197414239949994E-2</v>
      </c>
      <c r="F32">
        <f t="shared" si="1"/>
        <v>0.69396237460349985</v>
      </c>
      <c r="M32">
        <v>387</v>
      </c>
      <c r="N32">
        <v>-1.2044870999999999</v>
      </c>
      <c r="O32">
        <v>9.2671030000000005</v>
      </c>
      <c r="P32">
        <v>-3.0783662999999999</v>
      </c>
    </row>
    <row r="33" spans="1:16" x14ac:dyDescent="0.25">
      <c r="A33">
        <f t="shared" si="2"/>
        <v>-0.12433070549549999</v>
      </c>
      <c r="B33">
        <f t="shared" si="3"/>
        <v>0.71941627537950004</v>
      </c>
      <c r="C33">
        <f t="shared" si="4"/>
        <v>-0.1148033537503</v>
      </c>
      <c r="D33">
        <f t="shared" si="5"/>
        <v>0.71941627537949993</v>
      </c>
      <c r="E33">
        <f t="shared" si="6"/>
        <v>-0.12433070549549997</v>
      </c>
      <c r="F33">
        <f t="shared" si="1"/>
        <v>0.71941627537949993</v>
      </c>
      <c r="M33">
        <v>389</v>
      </c>
      <c r="N33">
        <v>-1.6432709999999999</v>
      </c>
      <c r="O33">
        <v>9.5084789999999995</v>
      </c>
      <c r="P33">
        <v>-1.5173486</v>
      </c>
    </row>
    <row r="34" spans="1:16" x14ac:dyDescent="0.25">
      <c r="A34">
        <f t="shared" si="2"/>
        <v>-3.281158E-2</v>
      </c>
      <c r="B34">
        <f t="shared" si="3"/>
        <v>0.19055241999999997</v>
      </c>
      <c r="C34">
        <f t="shared" si="4"/>
        <v>-1.5433706000000001E-3</v>
      </c>
      <c r="D34">
        <f t="shared" ref="D34:D40" si="7">SIGN(B34)*COS(ATAN(A34/B34)+$H$1)*SQRT(SUMSQ(A34:B34))</f>
        <v>0.19055242</v>
      </c>
      <c r="E34">
        <f t="shared" ref="E34:E40" si="8">SIGN(B34)*SIN(ATAN(A34/B34)+$H$1)*SQRT(SUMSQ(A34:B34))</f>
        <v>-3.281158E-2</v>
      </c>
      <c r="F34">
        <f t="shared" ref="F34:F40" si="9">SIGN(D34)*COS(ATAN(C34/D34)+$I$1)*SQRT(SUMSQ(C34:D34))</f>
        <v>0.19055242</v>
      </c>
      <c r="M34">
        <v>200</v>
      </c>
      <c r="N34">
        <v>-1.640579</v>
      </c>
      <c r="O34">
        <v>9.5276209999999999</v>
      </c>
      <c r="P34">
        <v>-7.7168529999999999E-2</v>
      </c>
    </row>
    <row r="35" spans="1:16" x14ac:dyDescent="0.25">
      <c r="A35">
        <f t="shared" si="2"/>
        <v>-0.1117999498556</v>
      </c>
      <c r="B35">
        <f t="shared" si="3"/>
        <v>0.70434180436600013</v>
      </c>
      <c r="C35">
        <f t="shared" si="4"/>
        <v>6.8982951664200015E-2</v>
      </c>
      <c r="D35">
        <f t="shared" si="7"/>
        <v>0.70434180436600013</v>
      </c>
      <c r="E35">
        <f t="shared" si="8"/>
        <v>-0.1117999498556</v>
      </c>
      <c r="F35">
        <f t="shared" si="9"/>
        <v>0.70434180436600025</v>
      </c>
      <c r="M35">
        <v>382</v>
      </c>
      <c r="N35">
        <v>-1.5323038</v>
      </c>
      <c r="O35">
        <v>9.6535430000000009</v>
      </c>
      <c r="P35">
        <v>0.94546410000000003</v>
      </c>
    </row>
    <row r="36" spans="1:16" x14ac:dyDescent="0.25">
      <c r="A36">
        <f t="shared" si="2"/>
        <v>-0.11598578667000001</v>
      </c>
      <c r="B36">
        <f t="shared" si="3"/>
        <v>0.74159016749999995</v>
      </c>
      <c r="C36">
        <f t="shared" si="4"/>
        <v>8.3981071979999988E-2</v>
      </c>
      <c r="D36">
        <f t="shared" si="7"/>
        <v>0.74159016749999995</v>
      </c>
      <c r="E36">
        <f t="shared" si="8"/>
        <v>-0.11598578667000002</v>
      </c>
      <c r="F36">
        <f t="shared" si="9"/>
        <v>0.74159016749999995</v>
      </c>
      <c r="M36">
        <v>390</v>
      </c>
      <c r="N36">
        <v>-1.5251254000000001</v>
      </c>
      <c r="O36">
        <v>9.7513500000000004</v>
      </c>
      <c r="P36">
        <v>1.1042875999999999</v>
      </c>
    </row>
    <row r="37" spans="1:16" x14ac:dyDescent="0.25">
      <c r="A37">
        <f t="shared" si="2"/>
        <v>-0.1107282684775</v>
      </c>
      <c r="B37">
        <f t="shared" si="3"/>
        <v>0.74160272240949987</v>
      </c>
      <c r="C37">
        <f t="shared" si="4"/>
        <v>6.4452405181449998E-2</v>
      </c>
      <c r="D37">
        <f t="shared" si="7"/>
        <v>0.74160272240949987</v>
      </c>
      <c r="E37">
        <f t="shared" si="8"/>
        <v>-0.11072826847749999</v>
      </c>
      <c r="F37">
        <f t="shared" si="9"/>
        <v>0.74160272240949987</v>
      </c>
      <c r="M37">
        <v>391</v>
      </c>
      <c r="N37">
        <v>-1.448555</v>
      </c>
      <c r="O37">
        <v>9.7016989999999996</v>
      </c>
      <c r="P37">
        <v>0.84317089999999995</v>
      </c>
    </row>
    <row r="38" spans="1:16" x14ac:dyDescent="0.25">
      <c r="A38">
        <f t="shared" si="2"/>
        <v>-9.8328521988900006E-2</v>
      </c>
      <c r="B38">
        <f t="shared" si="3"/>
        <v>0.73555170927000002</v>
      </c>
      <c r="C38">
        <f t="shared" si="4"/>
        <v>6.7415573301464998E-2</v>
      </c>
      <c r="D38">
        <f t="shared" si="7"/>
        <v>0.73555170927000002</v>
      </c>
      <c r="E38">
        <f t="shared" si="8"/>
        <v>-9.8328521988899992E-2</v>
      </c>
      <c r="F38">
        <f t="shared" si="9"/>
        <v>0.73555170927000002</v>
      </c>
      <c r="M38">
        <v>389</v>
      </c>
      <c r="N38">
        <v>-1.2996018</v>
      </c>
      <c r="O38">
        <v>9.7217400000000005</v>
      </c>
      <c r="P38">
        <v>0.89102733000000001</v>
      </c>
    </row>
    <row r="39" spans="1:16" x14ac:dyDescent="0.25">
      <c r="A39">
        <f t="shared" si="2"/>
        <v>-9.8926820648799998E-2</v>
      </c>
      <c r="B39">
        <f t="shared" si="3"/>
        <v>0.73087418380000002</v>
      </c>
      <c r="C39">
        <f t="shared" si="4"/>
        <v>7.6232636318400007E-2</v>
      </c>
      <c r="D39">
        <f t="shared" si="7"/>
        <v>0.73087418380000002</v>
      </c>
      <c r="E39">
        <f t="shared" si="8"/>
        <v>-9.8926820648799998E-2</v>
      </c>
      <c r="F39">
        <f t="shared" si="9"/>
        <v>0.73087418380000002</v>
      </c>
      <c r="M39">
        <v>388</v>
      </c>
      <c r="N39">
        <v>-1.3142579000000001</v>
      </c>
      <c r="O39">
        <v>9.7097750000000005</v>
      </c>
      <c r="P39">
        <v>1.0127622000000001</v>
      </c>
    </row>
    <row r="40" spans="1:16" x14ac:dyDescent="0.25">
      <c r="A40">
        <f t="shared" si="2"/>
        <v>-9.2504425962150014E-2</v>
      </c>
      <c r="B40">
        <f t="shared" si="3"/>
        <v>0.72489424105800004</v>
      </c>
      <c r="C40">
        <f t="shared" si="4"/>
        <v>7.6220963671499997E-2</v>
      </c>
      <c r="D40">
        <f t="shared" si="7"/>
        <v>0.72489424105799993</v>
      </c>
      <c r="E40">
        <f t="shared" si="8"/>
        <v>-9.2504425962150014E-2</v>
      </c>
      <c r="F40">
        <f t="shared" si="9"/>
        <v>0.72489424105799993</v>
      </c>
      <c r="M40">
        <v>387</v>
      </c>
      <c r="N40">
        <v>-1.2352947000000001</v>
      </c>
      <c r="O40">
        <v>9.6801639999999995</v>
      </c>
      <c r="P40">
        <v>1.0178469999999999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hminus">
                <anchor moveWithCells="1" sizeWithCells="1">
                  <from>
                    <xdr:col>6</xdr:col>
                    <xdr:colOff>647700</xdr:colOff>
                    <xdr:row>2</xdr:row>
                    <xdr:rowOff>12700</xdr:rowOff>
                  </from>
                  <to>
                    <xdr:col>7</xdr:col>
                    <xdr:colOff>139700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hplus">
                <anchor moveWithCells="1" sizeWithCells="1">
                  <from>
                    <xdr:col>7</xdr:col>
                    <xdr:colOff>508000</xdr:colOff>
                    <xdr:row>2</xdr:row>
                    <xdr:rowOff>0</xdr:rowOff>
                  </from>
                  <to>
                    <xdr:col>7</xdr:col>
                    <xdr:colOff>774700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iminus">
                <anchor moveWithCells="1" sizeWithCells="1">
                  <from>
                    <xdr:col>8</xdr:col>
                    <xdr:colOff>12700</xdr:colOff>
                    <xdr:row>2</xdr:row>
                    <xdr:rowOff>12700</xdr:rowOff>
                  </from>
                  <to>
                    <xdr:col>8</xdr:col>
                    <xdr:colOff>279400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iplus">
                <anchor moveWithCells="1" sizeWithCells="1">
                  <from>
                    <xdr:col>8</xdr:col>
                    <xdr:colOff>635000</xdr:colOff>
                    <xdr:row>2</xdr:row>
                    <xdr:rowOff>0</xdr:rowOff>
                  </from>
                  <to>
                    <xdr:col>9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4BF2-CD7E-8946-BDAA-5BC9CE7241A7}">
  <sheetPr codeName="Sheet3"/>
  <dimension ref="A1:W96"/>
  <sheetViews>
    <sheetView workbookViewId="0">
      <selection activeCell="P101" sqref="A97:P101"/>
    </sheetView>
  </sheetViews>
  <sheetFormatPr baseColWidth="10" defaultColWidth="8.7109375" defaultRowHeight="19" x14ac:dyDescent="0.25"/>
  <sheetData>
    <row r="1" spans="1:23" x14ac:dyDescent="0.25">
      <c r="A1">
        <v>0</v>
      </c>
      <c r="B1">
        <v>0</v>
      </c>
      <c r="C1">
        <v>0</v>
      </c>
      <c r="H1">
        <f>3.14159/180*H2</f>
        <v>0.87266388888888879</v>
      </c>
      <c r="I1">
        <f>3.14159/180*I2</f>
        <v>1.3962622222222221</v>
      </c>
      <c r="R1" t="s">
        <v>10</v>
      </c>
      <c r="U1" s="2"/>
      <c r="V1" s="2"/>
      <c r="W1" s="2"/>
    </row>
    <row r="2" spans="1:23" x14ac:dyDescent="0.25">
      <c r="A2">
        <f>(N2)*$M2^2/2000000</f>
        <v>-0.45926865824000002</v>
      </c>
      <c r="B2">
        <f t="shared" ref="B2:C17" si="0">(O2)*$M2^2/2000000</f>
        <v>0.53299065254399991</v>
      </c>
      <c r="C2">
        <f t="shared" si="0"/>
        <v>2.7415937205439996E-2</v>
      </c>
      <c r="D2">
        <f t="shared" ref="D2:D33" si="1">SIGN(B2)*COS(ATAN(A2/B2)+$H$1)*SQRT(SUMSQ(A2:B2))</f>
        <v>0.69442007443121623</v>
      </c>
      <c r="E2">
        <f t="shared" ref="E2:E33" si="2">SIGN(B2)*SIN(ATAN(A2/B2)+$H$1)*SQRT(SUMSQ(A2:B2))</f>
        <v>0.11308181271890225</v>
      </c>
      <c r="F2">
        <f t="shared" ref="F2:F33" si="3">SIGN(D2)*COS(ATAN(C2/D2)+$I$1)*SQRT(SUMSQ(C2:D2))</f>
        <v>9.3586165097212098E-2</v>
      </c>
      <c r="H2">
        <v>50</v>
      </c>
      <c r="I2">
        <v>80</v>
      </c>
      <c r="M2">
        <v>392</v>
      </c>
      <c r="N2">
        <v>-5.9775700000000001</v>
      </c>
      <c r="O2">
        <v>6.9370919999999998</v>
      </c>
      <c r="P2">
        <v>0.35682966999999999</v>
      </c>
      <c r="U2" s="2"/>
      <c r="V2" s="2"/>
      <c r="W2" s="2"/>
    </row>
    <row r="3" spans="1:23" x14ac:dyDescent="0.25">
      <c r="A3">
        <f t="shared" ref="A3:C33" si="4">(N3)*$M3^2/2000000</f>
        <v>-0.47106195922350003</v>
      </c>
      <c r="B3">
        <f t="shared" si="0"/>
        <v>0.59131050629624993</v>
      </c>
      <c r="C3">
        <f t="shared" si="0"/>
        <v>3.4208237156850001E-2</v>
      </c>
      <c r="D3">
        <f t="shared" si="1"/>
        <v>0.7409415738493611</v>
      </c>
      <c r="E3" s="4">
        <f t="shared" si="2"/>
        <v>0.15017679056845476</v>
      </c>
      <c r="F3" s="4">
        <f t="shared" si="3"/>
        <v>9.4975484464278684E-2</v>
      </c>
      <c r="H3" s="1">
        <v>10</v>
      </c>
      <c r="I3" s="1">
        <v>10</v>
      </c>
      <c r="M3">
        <v>393</v>
      </c>
      <c r="N3">
        <v>-6.0999030000000003</v>
      </c>
      <c r="O3">
        <v>7.6570324999999997</v>
      </c>
      <c r="P3">
        <v>0.44297130000000001</v>
      </c>
      <c r="U3" s="2"/>
      <c r="V3" s="2"/>
      <c r="W3" s="2"/>
    </row>
    <row r="4" spans="1:23" x14ac:dyDescent="0.25">
      <c r="A4">
        <f t="shared" si="4"/>
        <v>-0.45347245491600002</v>
      </c>
      <c r="B4">
        <f t="shared" si="0"/>
        <v>0.57297380274000009</v>
      </c>
      <c r="C4">
        <f t="shared" si="0"/>
        <v>3.2577106753319998E-2</v>
      </c>
      <c r="D4">
        <f t="shared" si="1"/>
        <v>0.71568062394895571</v>
      </c>
      <c r="E4">
        <f t="shared" si="2"/>
        <v>0.14743639475351311</v>
      </c>
      <c r="F4">
        <f t="shared" si="3"/>
        <v>9.2195286741981186E-2</v>
      </c>
      <c r="H4" t="s">
        <v>8</v>
      </c>
      <c r="I4" t="s">
        <v>9</v>
      </c>
      <c r="M4">
        <v>386</v>
      </c>
      <c r="N4">
        <v>-6.0870420000000003</v>
      </c>
      <c r="O4">
        <v>7.6911300000000002</v>
      </c>
      <c r="P4">
        <v>0.43728834</v>
      </c>
      <c r="U4" s="2"/>
      <c r="V4" s="2"/>
      <c r="W4" s="2"/>
    </row>
    <row r="5" spans="1:23" x14ac:dyDescent="0.25">
      <c r="A5">
        <f t="shared" si="4"/>
        <v>-0.45826374921250002</v>
      </c>
      <c r="B5">
        <f t="shared" si="0"/>
        <v>0.56021094764250001</v>
      </c>
      <c r="C5">
        <f t="shared" si="0"/>
        <v>3.2164691597500003E-2</v>
      </c>
      <c r="D5">
        <f t="shared" si="1"/>
        <v>0.71114715372246151</v>
      </c>
      <c r="E5">
        <f t="shared" si="2"/>
        <v>0.13457969926124341</v>
      </c>
      <c r="F5">
        <f t="shared" si="3"/>
        <v>9.1814202191667971E-2</v>
      </c>
      <c r="M5">
        <v>385</v>
      </c>
      <c r="N5">
        <v>-6.1833530000000003</v>
      </c>
      <c r="O5">
        <v>7.5589266000000004</v>
      </c>
      <c r="P5">
        <v>0.4339982</v>
      </c>
      <c r="U5" s="2"/>
      <c r="V5" s="2"/>
      <c r="W5" s="2"/>
    </row>
    <row r="6" spans="1:23" x14ac:dyDescent="0.25">
      <c r="A6">
        <f t="shared" si="4"/>
        <v>-0.43477364360569998</v>
      </c>
      <c r="B6">
        <f t="shared" si="0"/>
        <v>0.622117736014</v>
      </c>
      <c r="C6">
        <f t="shared" si="0"/>
        <v>-6.3194908505720002E-2</v>
      </c>
      <c r="D6">
        <f t="shared" si="1"/>
        <v>0.73294565146062773</v>
      </c>
      <c r="E6">
        <f t="shared" si="2"/>
        <v>0.19710218325101683</v>
      </c>
      <c r="F6">
        <f t="shared" si="3"/>
        <v>0.1895103508942321</v>
      </c>
      <c r="M6">
        <v>391</v>
      </c>
      <c r="N6">
        <v>-5.6877393999999999</v>
      </c>
      <c r="O6">
        <v>8.1385880000000004</v>
      </c>
      <c r="P6">
        <v>-0.82672024</v>
      </c>
      <c r="U6" s="2"/>
      <c r="V6" s="2"/>
      <c r="W6" s="2"/>
    </row>
    <row r="7" spans="1:23" x14ac:dyDescent="0.25">
      <c r="A7">
        <f t="shared" si="4"/>
        <v>-0.41807498634449997</v>
      </c>
      <c r="B7">
        <f t="shared" si="0"/>
        <v>0.6015891258585</v>
      </c>
      <c r="C7">
        <f t="shared" si="0"/>
        <v>-1.806268853529E-2</v>
      </c>
      <c r="D7">
        <f t="shared" si="1"/>
        <v>0.70695819792635739</v>
      </c>
      <c r="E7">
        <f t="shared" si="2"/>
        <v>0.1921100646579075</v>
      </c>
      <c r="F7">
        <f t="shared" si="3"/>
        <v>0.1405510958679215</v>
      </c>
      <c r="M7">
        <v>393</v>
      </c>
      <c r="N7">
        <v>-5.413761</v>
      </c>
      <c r="O7">
        <v>7.790133</v>
      </c>
      <c r="P7">
        <v>-0.23389842</v>
      </c>
      <c r="U7" s="2"/>
      <c r="V7" s="2"/>
      <c r="W7" s="2"/>
    </row>
    <row r="8" spans="1:23" x14ac:dyDescent="0.25">
      <c r="A8">
        <f t="shared" si="4"/>
        <v>-0.34736091486249998</v>
      </c>
      <c r="B8">
        <f t="shared" si="0"/>
        <v>0.63484811967499999</v>
      </c>
      <c r="C8">
        <f t="shared" si="0"/>
        <v>0.13734833102375002</v>
      </c>
      <c r="D8">
        <f t="shared" si="1"/>
        <v>0.67416659783771093</v>
      </c>
      <c r="E8">
        <f t="shared" si="2"/>
        <v>0.26304208520486266</v>
      </c>
      <c r="F8">
        <f t="shared" si="3"/>
        <v>-1.8193088953859297E-2</v>
      </c>
      <c r="M8">
        <v>385</v>
      </c>
      <c r="N8">
        <v>-4.686941</v>
      </c>
      <c r="O8">
        <v>8.5660059999999998</v>
      </c>
      <c r="P8">
        <v>1.8532411</v>
      </c>
      <c r="U8" s="2"/>
      <c r="V8" s="2"/>
      <c r="W8" s="2"/>
    </row>
    <row r="9" spans="1:23" x14ac:dyDescent="0.25">
      <c r="A9">
        <f t="shared" si="4"/>
        <v>-0.39312719765874998</v>
      </c>
      <c r="B9">
        <f t="shared" si="0"/>
        <v>0.65511862813749988</v>
      </c>
      <c r="C9">
        <f t="shared" si="0"/>
        <v>-6.2487809667499998E-2</v>
      </c>
      <c r="D9">
        <f t="shared" si="1"/>
        <v>0.72225522589936564</v>
      </c>
      <c r="E9">
        <f t="shared" si="2"/>
        <v>0.24915216060238765</v>
      </c>
      <c r="F9">
        <f t="shared" si="3"/>
        <v>0.18695760928736499</v>
      </c>
      <c r="M9">
        <v>395</v>
      </c>
      <c r="N9">
        <v>-5.0392846999999996</v>
      </c>
      <c r="O9">
        <v>8.3976109999999995</v>
      </c>
      <c r="P9">
        <v>-0.80099739999999997</v>
      </c>
      <c r="U9" s="2"/>
      <c r="V9" s="2"/>
      <c r="W9" s="2"/>
    </row>
    <row r="10" spans="1:23" x14ac:dyDescent="0.25">
      <c r="A10">
        <f t="shared" si="4"/>
        <v>-0.35452097536625005</v>
      </c>
      <c r="B10">
        <f t="shared" si="0"/>
        <v>0.65094153788124998</v>
      </c>
      <c r="C10">
        <f t="shared" si="0"/>
        <v>9.3545827663749984E-3</v>
      </c>
      <c r="D10">
        <f t="shared" si="1"/>
        <v>0.68999617791428802</v>
      </c>
      <c r="E10">
        <f t="shared" si="2"/>
        <v>0.27076794894802131</v>
      </c>
      <c r="F10">
        <f t="shared" si="3"/>
        <v>0.11060491657328717</v>
      </c>
      <c r="M10">
        <v>385</v>
      </c>
      <c r="N10">
        <v>-4.7835517000000003</v>
      </c>
      <c r="O10">
        <v>8.7831545000000002</v>
      </c>
      <c r="P10">
        <v>0.12622138999999999</v>
      </c>
      <c r="U10" s="2"/>
      <c r="V10" s="2"/>
      <c r="W10" s="2"/>
    </row>
    <row r="11" spans="1:23" x14ac:dyDescent="0.25">
      <c r="A11">
        <f t="shared" si="4"/>
        <v>-0.37536667163999998</v>
      </c>
      <c r="B11">
        <f t="shared" si="0"/>
        <v>0.6576943468230001</v>
      </c>
      <c r="C11">
        <f t="shared" si="0"/>
        <v>-3.6610436511000002E-2</v>
      </c>
      <c r="D11">
        <f t="shared" si="1"/>
        <v>0.71030552356232202</v>
      </c>
      <c r="E11">
        <f t="shared" si="2"/>
        <v>0.26254153046304884</v>
      </c>
      <c r="F11">
        <f t="shared" si="3"/>
        <v>0.15939831896131343</v>
      </c>
      <c r="M11">
        <v>393</v>
      </c>
      <c r="N11">
        <v>-4.8607199999999997</v>
      </c>
      <c r="O11">
        <v>8.5166540000000008</v>
      </c>
      <c r="P11">
        <v>-0.474078</v>
      </c>
      <c r="U11" s="2"/>
      <c r="V11" s="2"/>
      <c r="W11" s="2"/>
    </row>
    <row r="12" spans="1:23" x14ac:dyDescent="0.25">
      <c r="A12">
        <f t="shared" si="4"/>
        <v>-0.35403372262400001</v>
      </c>
      <c r="B12">
        <f t="shared" si="0"/>
        <v>0.64865284694399994</v>
      </c>
      <c r="C12">
        <f t="shared" si="0"/>
        <v>-5.7185734166400005E-3</v>
      </c>
      <c r="D12">
        <f t="shared" si="1"/>
        <v>0.6881517774203626</v>
      </c>
      <c r="E12">
        <f t="shared" si="2"/>
        <v>0.26932791135855072</v>
      </c>
      <c r="F12">
        <f t="shared" si="3"/>
        <v>0.12512879563090373</v>
      </c>
      <c r="M12">
        <v>388</v>
      </c>
      <c r="N12">
        <v>-4.703392</v>
      </c>
      <c r="O12">
        <v>8.6174520000000001</v>
      </c>
      <c r="P12">
        <v>-7.5972120000000004E-2</v>
      </c>
      <c r="U12" s="2"/>
      <c r="V12" s="2"/>
      <c r="W12" s="2"/>
    </row>
    <row r="13" spans="1:23" x14ac:dyDescent="0.25">
      <c r="A13">
        <f t="shared" si="4"/>
        <v>-0.34487518003200002</v>
      </c>
      <c r="B13">
        <f t="shared" si="0"/>
        <v>0.63711166464000002</v>
      </c>
      <c r="C13">
        <f t="shared" si="0"/>
        <v>-2.8359197982719998E-2</v>
      </c>
      <c r="D13">
        <f t="shared" si="1"/>
        <v>0.67371739559708899</v>
      </c>
      <c r="E13">
        <f t="shared" si="2"/>
        <v>0.26637386112817413</v>
      </c>
      <c r="F13">
        <f t="shared" si="3"/>
        <v>0.14491893273563636</v>
      </c>
      <c r="M13">
        <v>384</v>
      </c>
      <c r="N13">
        <v>-4.6776689999999999</v>
      </c>
      <c r="O13">
        <v>8.6413799999999998</v>
      </c>
      <c r="P13">
        <v>-0.38464623999999997</v>
      </c>
      <c r="U13" s="2"/>
      <c r="V13" s="2"/>
      <c r="W13" s="2"/>
    </row>
    <row r="14" spans="1:23" x14ac:dyDescent="0.25">
      <c r="A14">
        <f t="shared" si="4"/>
        <v>-0.34962938839300001</v>
      </c>
      <c r="B14">
        <f t="shared" si="0"/>
        <v>0.677946736818</v>
      </c>
      <c r="C14">
        <f t="shared" si="0"/>
        <v>-4.2647357574200004E-2</v>
      </c>
      <c r="D14">
        <f t="shared" si="1"/>
        <v>0.70360762973540325</v>
      </c>
      <c r="E14">
        <f t="shared" si="2"/>
        <v>0.29459937299384314</v>
      </c>
      <c r="F14">
        <f t="shared" si="3"/>
        <v>0.16418043955577541</v>
      </c>
      <c r="M14">
        <v>394</v>
      </c>
      <c r="N14">
        <v>-4.5044884999999999</v>
      </c>
      <c r="O14">
        <v>8.7344010000000001</v>
      </c>
      <c r="P14">
        <v>-0.54945189999999999</v>
      </c>
      <c r="U14" s="2"/>
      <c r="V14" s="2"/>
      <c r="W14" s="2"/>
    </row>
    <row r="15" spans="1:23" x14ac:dyDescent="0.25">
      <c r="A15">
        <f t="shared" si="4"/>
        <v>-0.32413336502499995</v>
      </c>
      <c r="B15">
        <f t="shared" si="0"/>
        <v>0.6663709258110001</v>
      </c>
      <c r="C15">
        <f t="shared" si="0"/>
        <v>-2.3988085864500002E-2</v>
      </c>
      <c r="D15">
        <f t="shared" si="1"/>
        <v>0.67663576036909867</v>
      </c>
      <c r="E15">
        <f t="shared" si="2"/>
        <v>0.30212033509575442</v>
      </c>
      <c r="F15">
        <f t="shared" si="3"/>
        <v>0.14112100064149558</v>
      </c>
      <c r="M15">
        <v>389</v>
      </c>
      <c r="N15">
        <v>-4.2840499999999997</v>
      </c>
      <c r="O15">
        <v>8.8073820000000005</v>
      </c>
      <c r="P15">
        <v>-0.31704900000000003</v>
      </c>
      <c r="U15" s="2"/>
      <c r="V15" s="2"/>
      <c r="W15" s="2"/>
    </row>
    <row r="16" spans="1:23" x14ac:dyDescent="0.25">
      <c r="A16">
        <f t="shared" si="4"/>
        <v>-0.31634854268925</v>
      </c>
      <c r="B16">
        <f t="shared" si="0"/>
        <v>0.67254898393850004</v>
      </c>
      <c r="C16">
        <f t="shared" si="0"/>
        <v>-2.5866398633670001E-2</v>
      </c>
      <c r="D16">
        <f t="shared" si="1"/>
        <v>0.67464342687137813</v>
      </c>
      <c r="E16">
        <f t="shared" si="2"/>
        <v>0.31185699100319103</v>
      </c>
      <c r="F16">
        <f t="shared" si="3"/>
        <v>0.14262480983929243</v>
      </c>
      <c r="M16">
        <v>389</v>
      </c>
      <c r="N16">
        <v>-4.1811585000000004</v>
      </c>
      <c r="O16">
        <v>8.8890370000000001</v>
      </c>
      <c r="P16">
        <v>-0.34187454</v>
      </c>
      <c r="U16" s="2"/>
      <c r="V16" s="2"/>
      <c r="W16" s="2"/>
    </row>
    <row r="17" spans="1:23" x14ac:dyDescent="0.25">
      <c r="A17">
        <f t="shared" si="4"/>
        <v>-0.30874477592999999</v>
      </c>
      <c r="B17">
        <f t="shared" si="0"/>
        <v>0.67612458567774991</v>
      </c>
      <c r="C17">
        <f t="shared" si="0"/>
        <v>3.2134981523000003E-3</v>
      </c>
      <c r="D17">
        <f t="shared" si="1"/>
        <v>0.67111696171553303</v>
      </c>
      <c r="E17">
        <f t="shared" si="2"/>
        <v>0.31948367050553095</v>
      </c>
      <c r="F17">
        <f t="shared" si="3"/>
        <v>0.11337433963938956</v>
      </c>
      <c r="M17">
        <v>389</v>
      </c>
      <c r="N17">
        <v>-4.08066</v>
      </c>
      <c r="O17">
        <v>8.9362954999999999</v>
      </c>
      <c r="P17">
        <v>4.2472599999999999E-2</v>
      </c>
      <c r="U17" s="2"/>
      <c r="V17" s="2"/>
      <c r="W17" s="2"/>
    </row>
    <row r="18" spans="1:23" x14ac:dyDescent="0.25">
      <c r="A18">
        <f t="shared" si="4"/>
        <v>-0.30399032770560003</v>
      </c>
      <c r="B18">
        <f t="shared" si="4"/>
        <v>0.65790694195200006</v>
      </c>
      <c r="C18">
        <f t="shared" si="4"/>
        <v>1.1775903252479999E-2</v>
      </c>
      <c r="D18">
        <f t="shared" si="1"/>
        <v>0.65576475937448708</v>
      </c>
      <c r="E18">
        <f t="shared" si="2"/>
        <v>0.30858425748847185</v>
      </c>
      <c r="F18">
        <f t="shared" si="3"/>
        <v>0.10227611867525242</v>
      </c>
      <c r="M18">
        <v>384</v>
      </c>
      <c r="N18">
        <v>-4.1231327000000002</v>
      </c>
      <c r="O18">
        <v>8.9234340000000003</v>
      </c>
      <c r="P18">
        <v>0.15972090999999999</v>
      </c>
      <c r="U18" s="2"/>
      <c r="V18" s="2"/>
      <c r="W18" s="2"/>
    </row>
    <row r="19" spans="1:23" x14ac:dyDescent="0.25">
      <c r="A19">
        <f t="shared" si="4"/>
        <v>-0.30530715871500003</v>
      </c>
      <c r="B19">
        <f t="shared" si="4"/>
        <v>0.64798721910000012</v>
      </c>
      <c r="C19">
        <f t="shared" si="4"/>
        <v>6.9013701900000002E-2</v>
      </c>
      <c r="D19">
        <f t="shared" si="1"/>
        <v>0.65039722928580834</v>
      </c>
      <c r="E19">
        <f t="shared" si="2"/>
        <v>0.30013887021997221</v>
      </c>
      <c r="F19">
        <f t="shared" si="3"/>
        <v>4.4975834471314875E-2</v>
      </c>
      <c r="M19">
        <v>390</v>
      </c>
      <c r="N19">
        <v>-4.0145583</v>
      </c>
      <c r="O19">
        <v>8.5205420000000007</v>
      </c>
      <c r="P19">
        <v>0.90747800000000001</v>
      </c>
    </row>
    <row r="20" spans="1:23" x14ac:dyDescent="0.25">
      <c r="A20">
        <f t="shared" si="4"/>
        <v>-0.27494453139060004</v>
      </c>
      <c r="B20">
        <f t="shared" si="4"/>
        <v>0.67360190174199996</v>
      </c>
      <c r="C20">
        <f t="shared" si="4"/>
        <v>8.6656885628199995E-2</v>
      </c>
      <c r="D20">
        <f t="shared" si="1"/>
        <v>0.64360293682325564</v>
      </c>
      <c r="E20">
        <f t="shared" si="2"/>
        <v>0.3392775811699264</v>
      </c>
      <c r="F20">
        <f t="shared" si="3"/>
        <v>2.6420869565301625E-2</v>
      </c>
      <c r="M20">
        <v>386</v>
      </c>
      <c r="N20">
        <v>-3.6906297000000001</v>
      </c>
      <c r="O20">
        <v>9.0418789999999998</v>
      </c>
      <c r="P20">
        <v>1.1632108999999999</v>
      </c>
    </row>
    <row r="21" spans="1:23" x14ac:dyDescent="0.25">
      <c r="A21">
        <f t="shared" si="4"/>
        <v>-0.29460470711760001</v>
      </c>
      <c r="B21">
        <f t="shared" si="4"/>
        <v>0.6962680581120001</v>
      </c>
      <c r="C21">
        <f t="shared" si="4"/>
        <v>8.9352329774399997E-2</v>
      </c>
      <c r="D21">
        <f t="shared" si="1"/>
        <v>0.67323303314706084</v>
      </c>
      <c r="E21">
        <f t="shared" si="2"/>
        <v>0.34400352510186732</v>
      </c>
      <c r="F21">
        <f t="shared" si="3"/>
        <v>2.8911622469102009E-2</v>
      </c>
      <c r="M21">
        <v>396</v>
      </c>
      <c r="N21">
        <v>-3.7573297000000001</v>
      </c>
      <c r="O21">
        <v>8.8800640000000008</v>
      </c>
      <c r="P21">
        <v>1.1395818</v>
      </c>
    </row>
    <row r="22" spans="1:23" x14ac:dyDescent="0.25">
      <c r="A22">
        <f t="shared" si="4"/>
        <v>-0.26517187795635</v>
      </c>
      <c r="B22">
        <f t="shared" si="4"/>
        <v>0.68585425536599998</v>
      </c>
      <c r="C22">
        <f t="shared" si="4"/>
        <v>6.9322322714625004E-2</v>
      </c>
      <c r="D22">
        <f t="shared" si="1"/>
        <v>0.64399232261313466</v>
      </c>
      <c r="E22">
        <f t="shared" si="2"/>
        <v>0.35494516883300159</v>
      </c>
      <c r="F22">
        <f t="shared" si="3"/>
        <v>4.3559694552683173E-2</v>
      </c>
      <c r="M22">
        <v>387</v>
      </c>
      <c r="N22">
        <v>-3.5410783000000001</v>
      </c>
      <c r="O22">
        <v>9.1588279999999997</v>
      </c>
      <c r="P22">
        <v>0.92572325</v>
      </c>
    </row>
    <row r="23" spans="1:23" x14ac:dyDescent="0.25">
      <c r="A23">
        <f t="shared" si="4"/>
        <v>-0.27438569728650003</v>
      </c>
      <c r="B23">
        <f t="shared" si="4"/>
        <v>0.6942522662085</v>
      </c>
      <c r="C23">
        <f t="shared" si="4"/>
        <v>8.8985012862100005E-2</v>
      </c>
      <c r="D23">
        <f t="shared" si="1"/>
        <v>0.65644865540292352</v>
      </c>
      <c r="E23">
        <f t="shared" si="2"/>
        <v>0.35545588028717501</v>
      </c>
      <c r="F23">
        <f t="shared" si="3"/>
        <v>2.6358762834066601E-2</v>
      </c>
      <c r="M23">
        <v>391</v>
      </c>
      <c r="N23">
        <v>-3.5895329999999999</v>
      </c>
      <c r="O23">
        <v>9.0822570000000002</v>
      </c>
      <c r="P23">
        <v>1.1641082</v>
      </c>
    </row>
    <row r="24" spans="1:23" x14ac:dyDescent="0.25">
      <c r="A24">
        <f t="shared" si="4"/>
        <v>-0.27043031419020003</v>
      </c>
      <c r="B24">
        <f t="shared" si="4"/>
        <v>0.69749892356499998</v>
      </c>
      <c r="C24">
        <f t="shared" si="4"/>
        <v>0.10402924473495</v>
      </c>
      <c r="D24">
        <f t="shared" si="1"/>
        <v>0.65550557099057905</v>
      </c>
      <c r="E24">
        <f t="shared" si="2"/>
        <v>0.36048543605485517</v>
      </c>
      <c r="F24">
        <f t="shared" si="3"/>
        <v>1.1379323743639029E-2</v>
      </c>
      <c r="M24">
        <v>391</v>
      </c>
      <c r="N24">
        <v>-3.5377884000000002</v>
      </c>
      <c r="O24">
        <v>9.1247299999999996</v>
      </c>
      <c r="P24">
        <v>1.3609179</v>
      </c>
    </row>
    <row r="25" spans="1:23" x14ac:dyDescent="0.25">
      <c r="A25">
        <f t="shared" si="4"/>
        <v>-0.28907168397800004</v>
      </c>
      <c r="B25">
        <f t="shared" si="4"/>
        <v>0.67054912269800004</v>
      </c>
      <c r="C25">
        <f t="shared" si="4"/>
        <v>7.38444141464E-2</v>
      </c>
      <c r="D25">
        <f t="shared" si="1"/>
        <v>0.65246266659805341</v>
      </c>
      <c r="E25">
        <f t="shared" si="2"/>
        <v>0.32785825157328513</v>
      </c>
      <c r="F25">
        <f t="shared" si="3"/>
        <v>4.0577174412073737E-2</v>
      </c>
      <c r="M25">
        <v>386</v>
      </c>
      <c r="N25">
        <v>-3.880261</v>
      </c>
      <c r="O25">
        <v>9.0009010000000007</v>
      </c>
      <c r="P25">
        <v>0.99122679999999996</v>
      </c>
    </row>
    <row r="26" spans="1:23" x14ac:dyDescent="0.25">
      <c r="A26">
        <f t="shared" si="4"/>
        <v>-0.29999768331375004</v>
      </c>
      <c r="B26">
        <f t="shared" si="4"/>
        <v>0.69529796762850005</v>
      </c>
      <c r="C26">
        <f t="shared" si="4"/>
        <v>7.2481734165149997E-2</v>
      </c>
      <c r="D26">
        <f t="shared" si="1"/>
        <v>0.67674072734794166</v>
      </c>
      <c r="E26">
        <f t="shared" si="2"/>
        <v>0.33979385181388821</v>
      </c>
      <c r="F26">
        <f t="shared" si="3"/>
        <v>4.6135021147810262E-2</v>
      </c>
      <c r="M26">
        <v>393</v>
      </c>
      <c r="N26">
        <v>-3.8847475</v>
      </c>
      <c r="O26">
        <v>9.0035930000000004</v>
      </c>
      <c r="P26">
        <v>0.93858470000000005</v>
      </c>
    </row>
    <row r="27" spans="1:23" x14ac:dyDescent="0.25">
      <c r="A27">
        <f t="shared" si="4"/>
        <v>-0.28120594674440003</v>
      </c>
      <c r="B27">
        <f t="shared" si="4"/>
        <v>0.67574103731400004</v>
      </c>
      <c r="C27">
        <f t="shared" si="4"/>
        <v>1.631083572846E-2</v>
      </c>
      <c r="D27">
        <f t="shared" si="1"/>
        <v>0.64977446734340905</v>
      </c>
      <c r="E27">
        <f t="shared" si="2"/>
        <v>0.33689148933032464</v>
      </c>
      <c r="F27">
        <f t="shared" si="3"/>
        <v>9.6769872689910746E-2</v>
      </c>
      <c r="M27">
        <v>386</v>
      </c>
      <c r="N27">
        <v>-3.7746778000000001</v>
      </c>
      <c r="O27">
        <v>9.0705930000000006</v>
      </c>
      <c r="P27">
        <v>0.21894327</v>
      </c>
    </row>
    <row r="28" spans="1:23" x14ac:dyDescent="0.25">
      <c r="A28">
        <f t="shared" si="4"/>
        <v>-0.29071029224624995</v>
      </c>
      <c r="B28">
        <f t="shared" si="4"/>
        <v>0.69352065418300002</v>
      </c>
      <c r="C28">
        <f t="shared" si="4"/>
        <v>2.2337706629725E-2</v>
      </c>
      <c r="D28">
        <f t="shared" si="1"/>
        <v>0.66848374136514588</v>
      </c>
      <c r="E28">
        <f t="shared" si="2"/>
        <v>0.34440217671607876</v>
      </c>
      <c r="F28">
        <f t="shared" si="3"/>
        <v>9.4083417803565175E-2</v>
      </c>
      <c r="M28">
        <v>391</v>
      </c>
      <c r="N28">
        <v>-3.8030925</v>
      </c>
      <c r="O28">
        <v>9.0726859999999991</v>
      </c>
      <c r="P28">
        <v>0.29222345</v>
      </c>
    </row>
    <row r="29" spans="1:23" x14ac:dyDescent="0.25">
      <c r="A29">
        <f t="shared" si="4"/>
        <v>-0.27663035830799998</v>
      </c>
      <c r="B29">
        <f t="shared" si="4"/>
        <v>0.68024006429600004</v>
      </c>
      <c r="C29">
        <f t="shared" si="4"/>
        <v>0.10072793659200001</v>
      </c>
      <c r="D29">
        <f t="shared" si="1"/>
        <v>0.64916128675572315</v>
      </c>
      <c r="E29">
        <f t="shared" si="2"/>
        <v>0.34327907595525331</v>
      </c>
      <c r="F29">
        <f t="shared" si="3"/>
        <v>1.3528796157212064E-2</v>
      </c>
      <c r="M29">
        <v>388</v>
      </c>
      <c r="N29">
        <v>-3.6750764999999999</v>
      </c>
      <c r="O29">
        <v>9.0370930000000005</v>
      </c>
      <c r="P29">
        <v>1.3381860000000001</v>
      </c>
    </row>
    <row r="30" spans="1:23" x14ac:dyDescent="0.25">
      <c r="A30">
        <f t="shared" si="4"/>
        <v>-0.28045775132799999</v>
      </c>
      <c r="B30">
        <f t="shared" si="4"/>
        <v>0.68123071908800004</v>
      </c>
      <c r="C30">
        <f t="shared" si="4"/>
        <v>6.9050648764799993E-2</v>
      </c>
      <c r="D30">
        <f t="shared" si="1"/>
        <v>0.65273001928204621</v>
      </c>
      <c r="E30">
        <f t="shared" si="2"/>
        <v>0.34157775811251462</v>
      </c>
      <c r="F30">
        <f t="shared" si="3"/>
        <v>4.5344536361135633E-2</v>
      </c>
      <c r="M30">
        <v>388</v>
      </c>
      <c r="N30">
        <v>-3.725924</v>
      </c>
      <c r="O30">
        <v>9.0502540000000007</v>
      </c>
      <c r="P30">
        <v>0.91734839999999995</v>
      </c>
    </row>
    <row r="31" spans="1:23" x14ac:dyDescent="0.25">
      <c r="A31">
        <f t="shared" si="4"/>
        <v>-0.27978528064499997</v>
      </c>
      <c r="B31">
        <f t="shared" si="4"/>
        <v>0.68576961960000005</v>
      </c>
      <c r="C31">
        <f t="shared" si="4"/>
        <v>0.10813814154</v>
      </c>
      <c r="D31">
        <f t="shared" si="1"/>
        <v>0.65513242874443078</v>
      </c>
      <c r="E31">
        <f t="shared" si="2"/>
        <v>0.34548701167967705</v>
      </c>
      <c r="F31">
        <f t="shared" si="3"/>
        <v>7.2680552507448414E-3</v>
      </c>
      <c r="M31">
        <v>390</v>
      </c>
      <c r="N31">
        <v>-3.6789649</v>
      </c>
      <c r="O31">
        <v>9.0173520000000007</v>
      </c>
      <c r="P31">
        <v>1.4219348000000001</v>
      </c>
    </row>
    <row r="32" spans="1:23" x14ac:dyDescent="0.25">
      <c r="A32">
        <f t="shared" si="4"/>
        <v>-0.27310082853915002</v>
      </c>
      <c r="B32">
        <f t="shared" si="4"/>
        <v>0.67353523092449996</v>
      </c>
      <c r="C32">
        <f t="shared" si="4"/>
        <v>0.1225851626781</v>
      </c>
      <c r="D32">
        <f t="shared" si="1"/>
        <v>0.64214772415963117</v>
      </c>
      <c r="E32">
        <f t="shared" si="2"/>
        <v>0.34041161878216775</v>
      </c>
      <c r="F32">
        <f t="shared" si="3"/>
        <v>-9.2142655851392315E-3</v>
      </c>
      <c r="M32">
        <v>387</v>
      </c>
      <c r="N32">
        <v>-3.6469607000000002</v>
      </c>
      <c r="O32">
        <v>8.9943209999999993</v>
      </c>
      <c r="P32">
        <v>1.6369898000000001</v>
      </c>
    </row>
    <row r="33" spans="1:16" x14ac:dyDescent="0.25">
      <c r="A33">
        <f t="shared" si="4"/>
        <v>-0.28953960591599998</v>
      </c>
      <c r="B33">
        <f t="shared" si="4"/>
        <v>0.663530144632</v>
      </c>
      <c r="C33">
        <f t="shared" si="4"/>
        <v>0.113329114026</v>
      </c>
      <c r="D33">
        <f t="shared" si="1"/>
        <v>0.64830939927996312</v>
      </c>
      <c r="E33">
        <f t="shared" si="2"/>
        <v>0.32218063106681111</v>
      </c>
      <c r="F33">
        <f t="shared" si="3"/>
        <v>9.7113180663335361E-4</v>
      </c>
      <c r="M33">
        <v>386</v>
      </c>
      <c r="N33">
        <v>-3.8865419999999999</v>
      </c>
      <c r="O33">
        <v>8.9066840000000003</v>
      </c>
      <c r="P33">
        <v>1.521237</v>
      </c>
    </row>
    <row r="34" spans="1:16" x14ac:dyDescent="0.25">
      <c r="A34">
        <f t="shared" ref="A34:A97" si="5">(N34)*$M34^2/2000000</f>
        <v>-0.33376337279999996</v>
      </c>
      <c r="B34">
        <f t="shared" ref="B34:B97" si="6">(O34)*$M34^2/2000000</f>
        <v>0.66654859049999993</v>
      </c>
      <c r="C34">
        <f t="shared" ref="C34:C97" si="7">(P34)*$M34^2/2000000</f>
        <v>8.0978503904999999E-2</v>
      </c>
      <c r="D34">
        <f t="shared" ref="D34:D97" si="8">SIGN(B34)*COS(ATAN(A34/B34)+$H$1)*SQRT(SUMSQ(A34:B34))</f>
        <v>0.68412697051067872</v>
      </c>
      <c r="E34">
        <f t="shared" ref="E34:E97" si="9">SIGN(B34)*SIN(ATAN(A34/B34)+$H$1)*SQRT(SUMSQ(A34:B34))</f>
        <v>0.29606637894271154</v>
      </c>
      <c r="F34">
        <f t="shared" ref="F34:F97" si="10">SIGN(D34)*COS(ATAN(C34/D34)+$I$1)*SQRT(SUMSQ(C34:D34))</f>
        <v>3.9049954416365926E-2</v>
      </c>
      <c r="M34">
        <v>390</v>
      </c>
      <c r="N34">
        <v>-4.3887359999999997</v>
      </c>
      <c r="O34">
        <v>8.7646099999999993</v>
      </c>
      <c r="P34">
        <v>1.0648061</v>
      </c>
    </row>
    <row r="35" spans="1:16" x14ac:dyDescent="0.25">
      <c r="A35">
        <f t="shared" si="5"/>
        <v>-0.37961672199750002</v>
      </c>
      <c r="B35">
        <f t="shared" si="6"/>
        <v>0.65556936025649992</v>
      </c>
      <c r="C35">
        <f t="shared" si="7"/>
        <v>3.4393021484940001E-2</v>
      </c>
      <c r="D35">
        <f t="shared" si="8"/>
        <v>0.71219533277238234</v>
      </c>
      <c r="E35">
        <f t="shared" si="9"/>
        <v>0.25818181520873884</v>
      </c>
      <c r="F35">
        <f t="shared" si="10"/>
        <v>8.9801741697903947E-2</v>
      </c>
      <c r="M35">
        <v>393</v>
      </c>
      <c r="N35">
        <v>-4.9157549999999999</v>
      </c>
      <c r="O35">
        <v>8.4891369999999995</v>
      </c>
      <c r="P35">
        <v>0.44536411999999997</v>
      </c>
    </row>
    <row r="36" spans="1:16" x14ac:dyDescent="0.25">
      <c r="A36">
        <f t="shared" si="5"/>
        <v>-0.39340540278000002</v>
      </c>
      <c r="B36">
        <f t="shared" si="6"/>
        <v>0.63411174449999996</v>
      </c>
      <c r="C36">
        <f t="shared" si="7"/>
        <v>4.1854059701999999E-2</v>
      </c>
      <c r="D36">
        <f t="shared" si="8"/>
        <v>0.70896536687272504</v>
      </c>
      <c r="E36">
        <f t="shared" si="9"/>
        <v>0.23288113711580372</v>
      </c>
      <c r="F36">
        <f t="shared" si="10"/>
        <v>8.1893173500354341E-2</v>
      </c>
      <c r="M36">
        <v>390</v>
      </c>
      <c r="N36">
        <v>-5.1729836000000002</v>
      </c>
      <c r="O36">
        <v>8.3380899999999993</v>
      </c>
      <c r="P36">
        <v>0.55034923999999996</v>
      </c>
    </row>
    <row r="37" spans="1:16" x14ac:dyDescent="0.25">
      <c r="A37">
        <f t="shared" si="5"/>
        <v>-0.39566340323124993</v>
      </c>
      <c r="B37">
        <f t="shared" si="6"/>
        <v>0.608158726175</v>
      </c>
      <c r="C37">
        <f t="shared" si="7"/>
        <v>4.4800027965000003E-2</v>
      </c>
      <c r="D37">
        <f t="shared" si="8"/>
        <v>0.69401280123327014</v>
      </c>
      <c r="E37">
        <f t="shared" si="9"/>
        <v>0.21154856795469654</v>
      </c>
      <c r="F37">
        <f t="shared" si="10"/>
        <v>7.6395458576668157E-2</v>
      </c>
      <c r="M37">
        <v>385</v>
      </c>
      <c r="N37">
        <v>-5.3386864999999997</v>
      </c>
      <c r="O37">
        <v>8.2058859999999996</v>
      </c>
      <c r="P37">
        <v>0.60448679999999999</v>
      </c>
    </row>
    <row r="38" spans="1:16" x14ac:dyDescent="0.25">
      <c r="A38">
        <f t="shared" si="5"/>
        <v>-0.41228873100599994</v>
      </c>
      <c r="B38">
        <f t="shared" si="6"/>
        <v>0.64066223195600003</v>
      </c>
      <c r="C38">
        <f t="shared" si="7"/>
        <v>7.91657572526E-3</v>
      </c>
      <c r="D38">
        <f t="shared" si="8"/>
        <v>0.7276414024537482</v>
      </c>
      <c r="E38">
        <f t="shared" si="9"/>
        <v>0.2257611184516139</v>
      </c>
      <c r="F38">
        <f t="shared" si="10"/>
        <v>0.11855814512416787</v>
      </c>
      <c r="M38">
        <v>394</v>
      </c>
      <c r="N38">
        <v>-5.3117669999999997</v>
      </c>
      <c r="O38">
        <v>8.2540420000000001</v>
      </c>
      <c r="P38">
        <v>0.10199407000000001</v>
      </c>
    </row>
    <row r="39" spans="1:16" x14ac:dyDescent="0.25">
      <c r="A39">
        <f t="shared" si="5"/>
        <v>-0.42163412849999998</v>
      </c>
      <c r="B39">
        <f t="shared" si="6"/>
        <v>0.61561858995000007</v>
      </c>
      <c r="C39">
        <f t="shared" si="7"/>
        <v>5.4546752987999998E-2</v>
      </c>
      <c r="D39">
        <f t="shared" si="8"/>
        <v>0.7187026309209128</v>
      </c>
      <c r="E39">
        <f t="shared" si="9"/>
        <v>0.2005694765295534</v>
      </c>
      <c r="F39">
        <f t="shared" si="10"/>
        <v>7.1084182811948504E-2</v>
      </c>
      <c r="M39">
        <v>390</v>
      </c>
      <c r="N39">
        <v>-5.5441700000000003</v>
      </c>
      <c r="O39">
        <v>8.0949190000000009</v>
      </c>
      <c r="P39">
        <v>0.71724856000000003</v>
      </c>
    </row>
    <row r="40" spans="1:16" x14ac:dyDescent="0.25">
      <c r="A40">
        <f t="shared" si="5"/>
        <v>-0.40427835493500003</v>
      </c>
      <c r="B40">
        <f t="shared" si="6"/>
        <v>0.62260188119999993</v>
      </c>
      <c r="C40">
        <f t="shared" si="7"/>
        <v>-7.0446746272499999E-2</v>
      </c>
      <c r="D40">
        <f t="shared" si="8"/>
        <v>0.70989612228215337</v>
      </c>
      <c r="E40">
        <f t="shared" si="9"/>
        <v>0.21707507068175919</v>
      </c>
      <c r="F40">
        <f t="shared" si="10"/>
        <v>0.19264947995645951</v>
      </c>
      <c r="M40">
        <v>390</v>
      </c>
      <c r="N40">
        <v>-5.3159546999999998</v>
      </c>
      <c r="O40">
        <v>8.1867439999999991</v>
      </c>
      <c r="P40">
        <v>-0.92632144999999999</v>
      </c>
    </row>
    <row r="41" spans="1:16" x14ac:dyDescent="0.25">
      <c r="A41">
        <f t="shared" si="5"/>
        <v>-0.40986861042399997</v>
      </c>
      <c r="B41">
        <f t="shared" si="6"/>
        <v>0.60934324929599992</v>
      </c>
      <c r="C41">
        <f t="shared" si="7"/>
        <v>-5.2908060278799997E-2</v>
      </c>
      <c r="D41">
        <f t="shared" si="8"/>
        <v>0.70565601199055794</v>
      </c>
      <c r="E41">
        <f t="shared" si="9"/>
        <v>0.20332502555044532</v>
      </c>
      <c r="F41">
        <f t="shared" si="10"/>
        <v>0.17464095725413914</v>
      </c>
      <c r="M41">
        <v>388</v>
      </c>
      <c r="N41">
        <v>-5.4451669999999996</v>
      </c>
      <c r="O41">
        <v>8.0952179999999991</v>
      </c>
      <c r="P41">
        <v>-0.70289164999999998</v>
      </c>
    </row>
    <row r="42" spans="1:16" x14ac:dyDescent="0.25">
      <c r="A42">
        <f t="shared" si="5"/>
        <v>-0.40425024065320003</v>
      </c>
      <c r="B42">
        <f t="shared" si="6"/>
        <v>0.60719982289600005</v>
      </c>
      <c r="C42">
        <f t="shared" si="7"/>
        <v>-2.6627663694199999E-2</v>
      </c>
      <c r="D42">
        <f t="shared" si="8"/>
        <v>0.69997432456775988</v>
      </c>
      <c r="E42">
        <f t="shared" si="9"/>
        <v>0.20529448833081787</v>
      </c>
      <c r="F42">
        <f t="shared" si="10"/>
        <v>0.14777320306145719</v>
      </c>
      <c r="M42">
        <v>386</v>
      </c>
      <c r="N42">
        <v>-5.4263234000000002</v>
      </c>
      <c r="O42">
        <v>8.1505519999999994</v>
      </c>
      <c r="P42">
        <v>-0.35742790000000002</v>
      </c>
    </row>
    <row r="43" spans="1:16" x14ac:dyDescent="0.25">
      <c r="A43">
        <f t="shared" si="5"/>
        <v>-0.39857241784320002</v>
      </c>
      <c r="B43">
        <f t="shared" si="6"/>
        <v>0.59554315468800012</v>
      </c>
      <c r="C43">
        <f t="shared" si="7"/>
        <v>-0.1004921192448</v>
      </c>
      <c r="D43">
        <f t="shared" si="8"/>
        <v>0.68813209416896715</v>
      </c>
      <c r="E43">
        <f t="shared" si="9"/>
        <v>0.2000146053060661</v>
      </c>
      <c r="F43">
        <f t="shared" si="10"/>
        <v>0.21845908095002761</v>
      </c>
      <c r="M43">
        <v>384</v>
      </c>
      <c r="N43">
        <v>-5.4059844000000004</v>
      </c>
      <c r="O43">
        <v>8.0775710000000007</v>
      </c>
      <c r="P43">
        <v>-1.3630116000000001</v>
      </c>
    </row>
    <row r="44" spans="1:16" x14ac:dyDescent="0.25">
      <c r="A44">
        <f t="shared" si="5"/>
        <v>-0.51467112861029995</v>
      </c>
      <c r="B44">
        <f t="shared" si="6"/>
        <v>0.47092336441335003</v>
      </c>
      <c r="C44">
        <f t="shared" si="7"/>
        <v>-0.15993101280599997</v>
      </c>
      <c r="D44">
        <f t="shared" si="8"/>
        <v>0.69696468391953359</v>
      </c>
      <c r="E44">
        <f t="shared" si="9"/>
        <v>2.9923488171223648E-2</v>
      </c>
      <c r="F44">
        <f t="shared" si="10"/>
        <v>0.27852872535960349</v>
      </c>
      <c r="M44">
        <v>393</v>
      </c>
      <c r="N44">
        <v>-6.6646093999999998</v>
      </c>
      <c r="O44">
        <v>6.0981082999999998</v>
      </c>
      <c r="P44">
        <v>-2.0709879999999998</v>
      </c>
    </row>
    <row r="45" spans="1:16" x14ac:dyDescent="0.25">
      <c r="A45">
        <f t="shared" si="5"/>
        <v>-0.56278678318014996</v>
      </c>
      <c r="B45">
        <f t="shared" si="6"/>
        <v>0.48125528472774998</v>
      </c>
      <c r="C45">
        <f t="shared" si="7"/>
        <v>-9.4357954454699994E-2</v>
      </c>
      <c r="D45">
        <f t="shared" si="8"/>
        <v>0.74046462712875816</v>
      </c>
      <c r="E45">
        <f t="shared" si="9"/>
        <v>6.9100196611862758E-3</v>
      </c>
      <c r="F45">
        <f t="shared" si="10"/>
        <v>0.22150561892582504</v>
      </c>
      <c r="M45">
        <v>391</v>
      </c>
      <c r="N45">
        <v>-7.3624162999999996</v>
      </c>
      <c r="O45">
        <v>6.2958154999999998</v>
      </c>
      <c r="P45">
        <v>-1.2343974</v>
      </c>
    </row>
    <row r="46" spans="1:16" x14ac:dyDescent="0.25">
      <c r="A46">
        <f t="shared" si="5"/>
        <v>-0.54866007244799997</v>
      </c>
      <c r="B46">
        <f t="shared" si="6"/>
        <v>0.46810320076799999</v>
      </c>
      <c r="C46">
        <f t="shared" si="7"/>
        <v>2.0398335344640001E-2</v>
      </c>
      <c r="D46">
        <f t="shared" si="8"/>
        <v>0.72118894152883373</v>
      </c>
      <c r="E46">
        <f t="shared" si="9"/>
        <v>5.9154276609045585E-3</v>
      </c>
      <c r="F46">
        <f t="shared" si="10"/>
        <v>0.10514554846066444</v>
      </c>
      <c r="M46">
        <v>384</v>
      </c>
      <c r="N46">
        <v>-7.4416785000000001</v>
      </c>
      <c r="O46">
        <v>6.349056</v>
      </c>
      <c r="P46">
        <v>0.27667013000000001</v>
      </c>
    </row>
    <row r="47" spans="1:16" x14ac:dyDescent="0.25">
      <c r="A47">
        <f t="shared" si="5"/>
        <v>-0.14432589623474998</v>
      </c>
      <c r="B47">
        <f t="shared" si="6"/>
        <v>0.12692485222650002</v>
      </c>
      <c r="C47">
        <f t="shared" si="7"/>
        <v>-2.0579142212099999E-2</v>
      </c>
      <c r="D47">
        <f t="shared" si="8"/>
        <v>0.19214577646813183</v>
      </c>
      <c r="E47">
        <f t="shared" si="9"/>
        <v>4.4590382529645202E-3</v>
      </c>
      <c r="F47">
        <f t="shared" si="10"/>
        <v>5.363248168518979E-2</v>
      </c>
      <c r="M47">
        <v>201</v>
      </c>
      <c r="N47">
        <v>-7.1446695</v>
      </c>
      <c r="O47">
        <v>6.2832530000000002</v>
      </c>
      <c r="P47">
        <v>-1.0187442</v>
      </c>
    </row>
    <row r="48" spans="1:16" x14ac:dyDescent="0.25">
      <c r="A48">
        <f t="shared" si="5"/>
        <v>-0.63306173124899989</v>
      </c>
      <c r="B48">
        <f t="shared" si="6"/>
        <v>0.3622679518743</v>
      </c>
      <c r="C48">
        <f t="shared" si="7"/>
        <v>-0.14673038168970001</v>
      </c>
      <c r="D48">
        <f t="shared" si="8"/>
        <v>0.71781467683586597</v>
      </c>
      <c r="E48">
        <f t="shared" si="9"/>
        <v>-0.1294114146673403</v>
      </c>
      <c r="F48">
        <f t="shared" si="10"/>
        <v>0.26914923168569738</v>
      </c>
      <c r="M48">
        <v>387</v>
      </c>
      <c r="N48">
        <v>-8.4538419999999999</v>
      </c>
      <c r="O48">
        <v>4.8376894000000004</v>
      </c>
      <c r="P48">
        <v>-1.9594225999999999</v>
      </c>
    </row>
    <row r="49" spans="1:16" x14ac:dyDescent="0.25">
      <c r="A49">
        <f t="shared" si="5"/>
        <v>-0.61753895332800002</v>
      </c>
      <c r="B49">
        <f t="shared" si="6"/>
        <v>0.34437701753120004</v>
      </c>
      <c r="C49">
        <f t="shared" si="7"/>
        <v>-0.1188106247174</v>
      </c>
      <c r="D49">
        <f t="shared" si="8"/>
        <v>0.69442346539876199</v>
      </c>
      <c r="E49">
        <f t="shared" si="9"/>
        <v>-0.13313879894568945</v>
      </c>
      <c r="F49">
        <f t="shared" si="10"/>
        <v>0.23759177586770086</v>
      </c>
      <c r="M49">
        <v>386</v>
      </c>
      <c r="N49">
        <v>-8.2893360000000005</v>
      </c>
      <c r="O49">
        <v>4.6226343999999999</v>
      </c>
      <c r="P49">
        <v>-1.5948163</v>
      </c>
    </row>
    <row r="50" spans="1:16" x14ac:dyDescent="0.25">
      <c r="A50">
        <f t="shared" si="5"/>
        <v>-0.14738919499710001</v>
      </c>
      <c r="B50">
        <f t="shared" si="6"/>
        <v>0.12402468058185</v>
      </c>
      <c r="C50">
        <f t="shared" si="7"/>
        <v>5.2831484737650002E-2</v>
      </c>
      <c r="D50">
        <f t="shared" si="8"/>
        <v>0.19262820197449027</v>
      </c>
      <c r="E50">
        <f t="shared" si="9"/>
        <v>2.6832703568144956E-4</v>
      </c>
      <c r="F50">
        <f t="shared" si="10"/>
        <v>-1.8579084983801789E-2</v>
      </c>
      <c r="M50">
        <v>201</v>
      </c>
      <c r="N50">
        <v>-7.2963142000000003</v>
      </c>
      <c r="O50">
        <v>6.1396837</v>
      </c>
      <c r="P50">
        <v>2.6153553</v>
      </c>
    </row>
    <row r="51" spans="1:16" x14ac:dyDescent="0.25">
      <c r="A51">
        <f t="shared" si="5"/>
        <v>-0.56438264388400006</v>
      </c>
      <c r="B51">
        <f t="shared" si="6"/>
        <v>0.45782357363199999</v>
      </c>
      <c r="C51">
        <f t="shared" si="7"/>
        <v>7.1234512289920005E-2</v>
      </c>
      <c r="D51">
        <f t="shared" si="8"/>
        <v>0.72662549979981406</v>
      </c>
      <c r="E51">
        <f t="shared" si="9"/>
        <v>-1.2065501702772643E-2</v>
      </c>
      <c r="F51">
        <f t="shared" si="10"/>
        <v>5.6025752433391363E-2</v>
      </c>
      <c r="M51">
        <v>388</v>
      </c>
      <c r="N51">
        <v>-7.4979094999999996</v>
      </c>
      <c r="O51">
        <v>6.0822560000000001</v>
      </c>
      <c r="P51">
        <v>0.94636136000000004</v>
      </c>
    </row>
    <row r="52" spans="1:16" x14ac:dyDescent="0.25">
      <c r="A52">
        <f t="shared" si="5"/>
        <v>-0.57026014926599999</v>
      </c>
      <c r="B52">
        <f t="shared" si="6"/>
        <v>0.42171505735050002</v>
      </c>
      <c r="C52">
        <f t="shared" si="7"/>
        <v>7.2032147760149989E-2</v>
      </c>
      <c r="D52">
        <f t="shared" si="8"/>
        <v>0.70791780009345173</v>
      </c>
      <c r="E52">
        <f t="shared" si="9"/>
        <v>-4.3504203795310566E-2</v>
      </c>
      <c r="F52">
        <f t="shared" si="10"/>
        <v>5.1991655311068273E-2</v>
      </c>
      <c r="M52">
        <v>389</v>
      </c>
      <c r="N52">
        <v>-7.5370920000000003</v>
      </c>
      <c r="O52">
        <v>5.5737810000000003</v>
      </c>
      <c r="P52">
        <v>0.95204429999999995</v>
      </c>
    </row>
    <row r="53" spans="1:16" x14ac:dyDescent="0.25">
      <c r="A53">
        <f t="shared" si="5"/>
        <v>-0.53450435885500003</v>
      </c>
      <c r="B53">
        <f t="shared" si="6"/>
        <v>0.48775019499360001</v>
      </c>
      <c r="C53">
        <f t="shared" si="7"/>
        <v>0.18694865178820003</v>
      </c>
      <c r="D53">
        <f t="shared" si="8"/>
        <v>0.72297389804919188</v>
      </c>
      <c r="E53">
        <f t="shared" si="9"/>
        <v>3.0065014399568154E-2</v>
      </c>
      <c r="F53">
        <f t="shared" si="10"/>
        <v>-5.856450381051214E-2</v>
      </c>
      <c r="M53">
        <v>389</v>
      </c>
      <c r="N53">
        <v>-7.0645100000000003</v>
      </c>
      <c r="O53">
        <v>6.4465631999999999</v>
      </c>
      <c r="P53">
        <v>2.4708884000000002</v>
      </c>
    </row>
    <row r="54" spans="1:16" x14ac:dyDescent="0.25">
      <c r="A54">
        <f t="shared" si="5"/>
        <v>-0.55029016001319997</v>
      </c>
      <c r="B54">
        <f t="shared" si="6"/>
        <v>0.47490826359260002</v>
      </c>
      <c r="C54">
        <f t="shared" si="7"/>
        <v>5.3946084019099998E-2</v>
      </c>
      <c r="D54">
        <f t="shared" si="8"/>
        <v>0.72681187418693149</v>
      </c>
      <c r="E54">
        <f t="shared" si="9"/>
        <v>1.0080603988441288E-2</v>
      </c>
      <c r="F54">
        <f t="shared" si="10"/>
        <v>7.3083890880429575E-2</v>
      </c>
      <c r="M54">
        <v>386</v>
      </c>
      <c r="N54">
        <v>-7.3866433999999996</v>
      </c>
      <c r="O54">
        <v>6.3747787000000002</v>
      </c>
      <c r="P54">
        <v>0.72412794999999996</v>
      </c>
    </row>
    <row r="55" spans="1:16" x14ac:dyDescent="0.25">
      <c r="A55">
        <f t="shared" si="5"/>
        <v>-0.55544275312960001</v>
      </c>
      <c r="B55">
        <f t="shared" si="6"/>
        <v>0.47321791504959998</v>
      </c>
      <c r="C55">
        <f t="shared" si="7"/>
        <v>8.6246455456000001E-2</v>
      </c>
      <c r="D55">
        <f t="shared" si="8"/>
        <v>0.72967245101612199</v>
      </c>
      <c r="E55">
        <f t="shared" si="9"/>
        <v>5.4736967586076447E-3</v>
      </c>
      <c r="F55">
        <f t="shared" si="10"/>
        <v>4.1770978555104622E-2</v>
      </c>
      <c r="M55">
        <v>392</v>
      </c>
      <c r="N55">
        <v>-7.2293152999999997</v>
      </c>
      <c r="O55">
        <v>6.1591253000000004</v>
      </c>
      <c r="P55">
        <v>1.122533</v>
      </c>
    </row>
    <row r="56" spans="1:16" x14ac:dyDescent="0.25">
      <c r="A56">
        <f t="shared" si="5"/>
        <v>-0.52111680307200003</v>
      </c>
      <c r="B56">
        <f t="shared" si="6"/>
        <v>0.49535975669759996</v>
      </c>
      <c r="C56">
        <f t="shared" si="7"/>
        <v>8.0733295411200001E-2</v>
      </c>
      <c r="D56">
        <f t="shared" si="8"/>
        <v>0.71760977795303316</v>
      </c>
      <c r="E56">
        <f t="shared" si="9"/>
        <v>4.4499635792729308E-2</v>
      </c>
      <c r="F56">
        <f t="shared" si="10"/>
        <v>4.5105704976284973E-2</v>
      </c>
      <c r="M56">
        <v>384</v>
      </c>
      <c r="N56">
        <v>-7.0680990000000001</v>
      </c>
      <c r="O56">
        <v>6.7187466999999996</v>
      </c>
      <c r="P56">
        <v>1.0950154000000001</v>
      </c>
    </row>
    <row r="57" spans="1:16" x14ac:dyDescent="0.25">
      <c r="A57">
        <f t="shared" si="5"/>
        <v>-0.54587225848999998</v>
      </c>
      <c r="B57">
        <f t="shared" si="6"/>
        <v>0.52045100517499998</v>
      </c>
      <c r="C57">
        <f t="shared" si="7"/>
        <v>9.386132842860001E-2</v>
      </c>
      <c r="D57">
        <f t="shared" si="8"/>
        <v>0.75270190308443219</v>
      </c>
      <c r="E57">
        <f t="shared" si="9"/>
        <v>4.7808121378226279E-2</v>
      </c>
      <c r="F57">
        <f t="shared" si="10"/>
        <v>3.8270843305006214E-2</v>
      </c>
      <c r="M57">
        <v>394</v>
      </c>
      <c r="N57">
        <v>-7.0328049999999998</v>
      </c>
      <c r="O57">
        <v>6.7052874999999998</v>
      </c>
      <c r="P57">
        <v>1.2092727000000001</v>
      </c>
    </row>
    <row r="58" spans="1:16" x14ac:dyDescent="0.25">
      <c r="A58">
        <f t="shared" si="5"/>
        <v>-0.14233806805229998</v>
      </c>
      <c r="B58">
        <f t="shared" si="6"/>
        <v>0.1347674135445</v>
      </c>
      <c r="C58">
        <f t="shared" si="7"/>
        <v>2.557589951115E-2</v>
      </c>
      <c r="D58">
        <f t="shared" si="8"/>
        <v>0.19566411834871075</v>
      </c>
      <c r="E58">
        <f t="shared" si="9"/>
        <v>1.1744537502905881E-2</v>
      </c>
      <c r="F58">
        <f t="shared" si="10"/>
        <v>8.7896059503017182E-3</v>
      </c>
      <c r="M58">
        <v>201</v>
      </c>
      <c r="N58">
        <v>-7.0462645999999998</v>
      </c>
      <c r="O58">
        <v>6.6714890000000002</v>
      </c>
      <c r="P58">
        <v>1.2661023</v>
      </c>
    </row>
    <row r="59" spans="1:16" x14ac:dyDescent="0.25">
      <c r="A59">
        <f t="shared" si="5"/>
        <v>-0.50451794257500004</v>
      </c>
      <c r="B59">
        <f t="shared" si="6"/>
        <v>0.49153593305519999</v>
      </c>
      <c r="C59">
        <f t="shared" si="7"/>
        <v>9.1612123226999992E-2</v>
      </c>
      <c r="D59">
        <f t="shared" si="8"/>
        <v>0.70243641235369825</v>
      </c>
      <c r="E59">
        <f t="shared" si="9"/>
        <v>5.2239969986804233E-2</v>
      </c>
      <c r="F59">
        <f t="shared" si="10"/>
        <v>3.1757308318956325E-2</v>
      </c>
      <c r="M59">
        <v>381</v>
      </c>
      <c r="N59">
        <v>-6.9511500000000002</v>
      </c>
      <c r="O59">
        <v>6.7722863999999996</v>
      </c>
      <c r="P59">
        <v>1.2622139999999999</v>
      </c>
    </row>
    <row r="60" spans="1:16" x14ac:dyDescent="0.25">
      <c r="A60">
        <f t="shared" si="5"/>
        <v>-0.52561061103749995</v>
      </c>
      <c r="B60">
        <f t="shared" si="6"/>
        <v>0.52444458765050006</v>
      </c>
      <c r="C60">
        <f t="shared" si="7"/>
        <v>8.3337718670949995E-2</v>
      </c>
      <c r="D60">
        <f t="shared" si="8"/>
        <v>0.73974761783358312</v>
      </c>
      <c r="E60">
        <f t="shared" si="9"/>
        <v>6.3891328524739499E-2</v>
      </c>
      <c r="F60">
        <f t="shared" si="10"/>
        <v>4.6385070556197214E-2</v>
      </c>
      <c r="M60">
        <v>391</v>
      </c>
      <c r="N60">
        <v>-6.8760750000000002</v>
      </c>
      <c r="O60">
        <v>6.8608209999999996</v>
      </c>
      <c r="P60">
        <v>1.0902299</v>
      </c>
    </row>
    <row r="61" spans="1:16" x14ac:dyDescent="0.25">
      <c r="A61">
        <f t="shared" si="5"/>
        <v>-0.50365142876159996</v>
      </c>
      <c r="B61">
        <f t="shared" si="6"/>
        <v>0.51024504913919999</v>
      </c>
      <c r="C61">
        <f t="shared" si="7"/>
        <v>8.7106402713599998E-2</v>
      </c>
      <c r="D61">
        <f t="shared" si="8"/>
        <v>0.71379862324384091</v>
      </c>
      <c r="E61">
        <f t="shared" si="9"/>
        <v>6.7128960366320545E-2</v>
      </c>
      <c r="F61">
        <f t="shared" si="10"/>
        <v>3.8167616302748376E-2</v>
      </c>
      <c r="M61">
        <v>384</v>
      </c>
      <c r="N61">
        <v>-6.8312096999999996</v>
      </c>
      <c r="O61">
        <v>6.9206414000000001</v>
      </c>
      <c r="P61">
        <v>1.1814562</v>
      </c>
    </row>
    <row r="62" spans="1:16" x14ac:dyDescent="0.25">
      <c r="A62">
        <f t="shared" si="5"/>
        <v>-0.53648977814999999</v>
      </c>
      <c r="B62">
        <f t="shared" si="6"/>
        <v>0.5375165006624999</v>
      </c>
      <c r="C62">
        <f t="shared" si="7"/>
        <v>7.4528024880000002E-2</v>
      </c>
      <c r="D62">
        <f t="shared" si="8"/>
        <v>0.75648400929144832</v>
      </c>
      <c r="E62">
        <f t="shared" si="9"/>
        <v>6.6911988688360527E-2</v>
      </c>
      <c r="F62">
        <f t="shared" si="10"/>
        <v>5.7967186814949577E-2</v>
      </c>
      <c r="M62">
        <v>395</v>
      </c>
      <c r="N62">
        <v>-6.8769720000000003</v>
      </c>
      <c r="O62">
        <v>6.8901329999999996</v>
      </c>
      <c r="P62">
        <v>0.95533440000000003</v>
      </c>
    </row>
    <row r="63" spans="1:16" x14ac:dyDescent="0.25">
      <c r="A63">
        <f t="shared" si="5"/>
        <v>-0.50539356979200001</v>
      </c>
      <c r="B63">
        <f t="shared" si="6"/>
        <v>0.50867933184000003</v>
      </c>
      <c r="C63">
        <f t="shared" si="7"/>
        <v>7.26180691968E-2</v>
      </c>
      <c r="D63">
        <f t="shared" si="8"/>
        <v>0.71412675530958269</v>
      </c>
      <c r="E63">
        <f t="shared" si="9"/>
        <v>6.4809724419235895E-2</v>
      </c>
      <c r="F63">
        <f t="shared" si="10"/>
        <v>5.2492816427517804E-2</v>
      </c>
      <c r="M63">
        <v>384</v>
      </c>
      <c r="N63">
        <v>-6.8548390000000001</v>
      </c>
      <c r="O63">
        <v>6.8994049999999998</v>
      </c>
      <c r="P63">
        <v>0.98494559999999998</v>
      </c>
    </row>
    <row r="64" spans="1:16" x14ac:dyDescent="0.25">
      <c r="A64">
        <f t="shared" si="5"/>
        <v>-0.53101415522200002</v>
      </c>
      <c r="B64">
        <f t="shared" si="6"/>
        <v>0.537375260794</v>
      </c>
      <c r="C64">
        <f t="shared" si="7"/>
        <v>7.5195856572899997E-2</v>
      </c>
      <c r="D64">
        <f t="shared" si="8"/>
        <v>0.75219865405199504</v>
      </c>
      <c r="E64">
        <f t="shared" si="9"/>
        <v>7.0323458404154965E-2</v>
      </c>
      <c r="F64">
        <f t="shared" si="10"/>
        <v>5.6565352017606874E-2</v>
      </c>
      <c r="M64">
        <v>394</v>
      </c>
      <c r="N64">
        <v>-6.8413789999999999</v>
      </c>
      <c r="O64">
        <v>6.9233330000000004</v>
      </c>
      <c r="P64">
        <v>0.96879404999999996</v>
      </c>
    </row>
    <row r="65" spans="1:16" x14ac:dyDescent="0.25">
      <c r="A65">
        <f t="shared" si="5"/>
        <v>-0.49934244065880001</v>
      </c>
      <c r="B65">
        <f t="shared" si="6"/>
        <v>0.509477594398</v>
      </c>
      <c r="C65">
        <f t="shared" si="7"/>
        <v>7.3556597625100001E-2</v>
      </c>
      <c r="D65">
        <f t="shared" si="8"/>
        <v>0.71000443806185443</v>
      </c>
      <c r="E65">
        <f t="shared" si="9"/>
        <v>6.931082288597136E-2</v>
      </c>
      <c r="F65">
        <f t="shared" si="10"/>
        <v>5.085270888139088E-2</v>
      </c>
      <c r="M65">
        <v>383</v>
      </c>
      <c r="N65">
        <v>-6.8081784000000001</v>
      </c>
      <c r="O65">
        <v>6.946364</v>
      </c>
      <c r="P65">
        <v>1.0028918</v>
      </c>
    </row>
    <row r="66" spans="1:16" x14ac:dyDescent="0.25">
      <c r="A66">
        <f t="shared" si="5"/>
        <v>-0.51161864084799991</v>
      </c>
      <c r="B66">
        <f t="shared" si="6"/>
        <v>0.54500952072000008</v>
      </c>
      <c r="C66">
        <f t="shared" si="7"/>
        <v>6.9125850281599996E-2</v>
      </c>
      <c r="D66">
        <f t="shared" si="8"/>
        <v>0.74224804923433729</v>
      </c>
      <c r="E66">
        <f t="shared" si="9"/>
        <v>8.8638844455575808E-2</v>
      </c>
      <c r="F66">
        <f t="shared" si="10"/>
        <v>6.0815224080537161E-2</v>
      </c>
      <c r="M66">
        <v>392</v>
      </c>
      <c r="N66">
        <v>-6.6589264999999997</v>
      </c>
      <c r="O66">
        <v>7.0935224999999997</v>
      </c>
      <c r="P66">
        <v>0.89970130000000004</v>
      </c>
    </row>
    <row r="67" spans="1:16" x14ac:dyDescent="0.25">
      <c r="A67">
        <f t="shared" si="5"/>
        <v>-0.49642840125760002</v>
      </c>
      <c r="B67">
        <f t="shared" si="6"/>
        <v>0.56132583315200002</v>
      </c>
      <c r="C67">
        <f t="shared" si="7"/>
        <v>7.073449723200001E-2</v>
      </c>
      <c r="D67">
        <f t="shared" si="8"/>
        <v>0.74109959048385854</v>
      </c>
      <c r="E67">
        <f t="shared" si="9"/>
        <v>0.11090196356972595</v>
      </c>
      <c r="F67">
        <f t="shared" si="10"/>
        <v>5.9031587318339095E-2</v>
      </c>
      <c r="M67">
        <v>392</v>
      </c>
      <c r="N67">
        <v>-6.4612192999999998</v>
      </c>
      <c r="O67">
        <v>7.3058860000000001</v>
      </c>
      <c r="P67">
        <v>0.92063850000000003</v>
      </c>
    </row>
    <row r="68" spans="1:16" x14ac:dyDescent="0.25">
      <c r="A68">
        <f t="shared" si="5"/>
        <v>-0.49024067440150004</v>
      </c>
      <c r="B68">
        <f t="shared" si="6"/>
        <v>0.56182651468699996</v>
      </c>
      <c r="C68">
        <f t="shared" si="7"/>
        <v>6.9002250758150002E-2</v>
      </c>
      <c r="D68">
        <f t="shared" si="8"/>
        <v>0.73668135181178696</v>
      </c>
      <c r="E68">
        <f t="shared" si="9"/>
        <v>0.11526290528933218</v>
      </c>
      <c r="F68">
        <f t="shared" si="10"/>
        <v>5.9970292495664483E-2</v>
      </c>
      <c r="M68">
        <v>391</v>
      </c>
      <c r="N68">
        <v>-6.4133630000000004</v>
      </c>
      <c r="O68">
        <v>7.3498539999999997</v>
      </c>
      <c r="P68">
        <v>0.9026923</v>
      </c>
    </row>
    <row r="69" spans="1:16" x14ac:dyDescent="0.25">
      <c r="A69">
        <f t="shared" si="5"/>
        <v>-0.48243408310665004</v>
      </c>
      <c r="B69">
        <f t="shared" si="6"/>
        <v>0.54673924541534991</v>
      </c>
      <c r="C69">
        <f t="shared" si="7"/>
        <v>6.8963951707200002E-2</v>
      </c>
      <c r="D69">
        <f t="shared" si="8"/>
        <v>0.72100324135850125</v>
      </c>
      <c r="E69">
        <f t="shared" si="9"/>
        <v>0.10872337821662448</v>
      </c>
      <c r="F69">
        <f t="shared" si="10"/>
        <v>5.728551617122353E-2</v>
      </c>
      <c r="M69">
        <v>387</v>
      </c>
      <c r="N69">
        <v>-6.4423757000000004</v>
      </c>
      <c r="O69">
        <v>7.3011002999999999</v>
      </c>
      <c r="P69">
        <v>0.92093760000000002</v>
      </c>
    </row>
    <row r="70" spans="1:16" x14ac:dyDescent="0.25">
      <c r="A70">
        <f t="shared" si="5"/>
        <v>-0.48885908284765001</v>
      </c>
      <c r="B70">
        <f t="shared" si="6"/>
        <v>0.55991811552100001</v>
      </c>
      <c r="C70">
        <f t="shared" si="7"/>
        <v>1.169984918368E-2</v>
      </c>
      <c r="D70">
        <f t="shared" si="8"/>
        <v>0.73439629551807117</v>
      </c>
      <c r="E70">
        <f t="shared" si="9"/>
        <v>0.11468905832976105</v>
      </c>
      <c r="F70">
        <f t="shared" si="10"/>
        <v>0.11600533158181692</v>
      </c>
      <c r="M70">
        <v>389</v>
      </c>
      <c r="N70">
        <v>-6.4612192999999998</v>
      </c>
      <c r="O70">
        <v>7.4004019999999997</v>
      </c>
      <c r="P70">
        <v>0.15463615999999999</v>
      </c>
    </row>
    <row r="71" spans="1:16" x14ac:dyDescent="0.25">
      <c r="A71">
        <f t="shared" si="5"/>
        <v>-0.44738097065999999</v>
      </c>
      <c r="B71">
        <f t="shared" si="6"/>
        <v>0.57236275185300001</v>
      </c>
      <c r="C71">
        <f t="shared" si="7"/>
        <v>0.11369308509855</v>
      </c>
      <c r="D71">
        <f t="shared" si="8"/>
        <v>0.71062150288638526</v>
      </c>
      <c r="E71">
        <f t="shared" si="9"/>
        <v>0.15088383695054208</v>
      </c>
      <c r="F71">
        <f t="shared" si="10"/>
        <v>1.1433145957655787E-2</v>
      </c>
      <c r="M71">
        <v>387</v>
      </c>
      <c r="N71">
        <v>-5.9742800000000003</v>
      </c>
      <c r="O71">
        <v>7.6432739999999999</v>
      </c>
      <c r="P71">
        <v>1.5182458999999999</v>
      </c>
    </row>
    <row r="72" spans="1:16" x14ac:dyDescent="0.25">
      <c r="A72">
        <f t="shared" si="5"/>
        <v>-0.47247094339335</v>
      </c>
      <c r="B72">
        <f t="shared" si="6"/>
        <v>0.58262564596499999</v>
      </c>
      <c r="C72">
        <f t="shared" si="7"/>
        <v>5.4673123501799994E-2</v>
      </c>
      <c r="D72">
        <f t="shared" si="8"/>
        <v>0.73643839215877727</v>
      </c>
      <c r="E72">
        <f t="shared" si="9"/>
        <v>0.14261812732514279</v>
      </c>
      <c r="F72">
        <f t="shared" si="10"/>
        <v>7.4039535393879891E-2</v>
      </c>
      <c r="M72">
        <v>393</v>
      </c>
      <c r="N72">
        <v>-6.1181482999999997</v>
      </c>
      <c r="O72">
        <v>7.5445700000000002</v>
      </c>
      <c r="P72">
        <v>0.70797639999999995</v>
      </c>
    </row>
    <row r="73" spans="1:16" x14ac:dyDescent="0.25">
      <c r="A73">
        <f t="shared" si="5"/>
        <v>-0.43334702695999999</v>
      </c>
      <c r="B73">
        <f t="shared" si="6"/>
        <v>0.56114018391699994</v>
      </c>
      <c r="C73">
        <f t="shared" si="7"/>
        <v>0.2269589683031</v>
      </c>
      <c r="D73">
        <f t="shared" si="8"/>
        <v>0.69265715099426439</v>
      </c>
      <c r="E73">
        <f t="shared" si="9"/>
        <v>0.15130770951271511</v>
      </c>
      <c r="F73">
        <f t="shared" si="10"/>
        <v>-0.1032314486113162</v>
      </c>
      <c r="M73">
        <v>389</v>
      </c>
      <c r="N73">
        <v>-5.7275200000000002</v>
      </c>
      <c r="O73">
        <v>7.4165539999999996</v>
      </c>
      <c r="P73">
        <v>2.9997022000000002</v>
      </c>
    </row>
    <row r="74" spans="1:16" x14ac:dyDescent="0.25">
      <c r="A74">
        <f t="shared" si="5"/>
        <v>-0.45281059592999995</v>
      </c>
      <c r="B74">
        <f t="shared" si="6"/>
        <v>0.53383191505875005</v>
      </c>
      <c r="C74">
        <f t="shared" si="7"/>
        <v>0.18695866044625001</v>
      </c>
      <c r="D74">
        <f t="shared" si="8"/>
        <v>0.6900136683411825</v>
      </c>
      <c r="E74">
        <f t="shared" si="9"/>
        <v>0.11787742287698223</v>
      </c>
      <c r="F74">
        <f t="shared" si="10"/>
        <v>-6.4297882518636218E-2</v>
      </c>
      <c r="M74">
        <v>385</v>
      </c>
      <c r="N74">
        <v>-6.1097735999999996</v>
      </c>
      <c r="O74">
        <v>7.2029943000000003</v>
      </c>
      <c r="P74">
        <v>2.5226332999999999</v>
      </c>
    </row>
    <row r="75" spans="1:16" x14ac:dyDescent="0.25">
      <c r="A75">
        <f t="shared" si="5"/>
        <v>-0.49395215049300001</v>
      </c>
      <c r="B75">
        <f t="shared" si="6"/>
        <v>0.52612776930780003</v>
      </c>
      <c r="C75">
        <f t="shared" si="7"/>
        <v>0.22051724716259999</v>
      </c>
      <c r="D75">
        <f t="shared" si="8"/>
        <v>0.7165777743202667</v>
      </c>
      <c r="E75">
        <f t="shared" si="9"/>
        <v>8.5530403738517988E-2</v>
      </c>
      <c r="F75">
        <f t="shared" si="10"/>
        <v>-9.273379257668854E-2</v>
      </c>
      <c r="M75">
        <v>393</v>
      </c>
      <c r="N75">
        <v>-6.3963140000000003</v>
      </c>
      <c r="O75">
        <v>6.8129644000000003</v>
      </c>
      <c r="P75">
        <v>2.8555348</v>
      </c>
    </row>
    <row r="76" spans="1:16" x14ac:dyDescent="0.25">
      <c r="A76">
        <f t="shared" si="5"/>
        <v>-0.49848419093399998</v>
      </c>
      <c r="B76">
        <f t="shared" si="6"/>
        <v>0.45610365142659992</v>
      </c>
      <c r="C76">
        <f t="shared" si="7"/>
        <v>0.21332119555620002</v>
      </c>
      <c r="D76">
        <f t="shared" si="8"/>
        <v>0.67503884167587502</v>
      </c>
      <c r="E76">
        <f t="shared" si="9"/>
        <v>2.8975708527918951E-2</v>
      </c>
      <c r="F76">
        <f t="shared" si="10"/>
        <v>-9.2860274838919329E-2</v>
      </c>
      <c r="M76">
        <v>382</v>
      </c>
      <c r="N76">
        <v>-6.8321069999999997</v>
      </c>
      <c r="O76">
        <v>6.2512492999999996</v>
      </c>
      <c r="P76">
        <v>2.9237301000000002</v>
      </c>
    </row>
    <row r="77" spans="1:16" x14ac:dyDescent="0.25">
      <c r="A77">
        <f t="shared" si="5"/>
        <v>-0.53364308642249991</v>
      </c>
      <c r="B77">
        <f t="shared" si="6"/>
        <v>0.51674944834250003</v>
      </c>
      <c r="C77">
        <f t="shared" si="7"/>
        <v>0.1821666767</v>
      </c>
      <c r="D77">
        <f t="shared" si="8"/>
        <v>0.74095450261381846</v>
      </c>
      <c r="E77">
        <f t="shared" si="9"/>
        <v>5.2833333276621867E-2</v>
      </c>
      <c r="F77">
        <f t="shared" si="10"/>
        <v>-5.0732858548599796E-2</v>
      </c>
      <c r="M77">
        <v>395</v>
      </c>
      <c r="N77">
        <v>-6.8404818000000001</v>
      </c>
      <c r="O77">
        <v>6.6239314</v>
      </c>
      <c r="P77">
        <v>2.3350960000000001</v>
      </c>
    </row>
    <row r="78" spans="1:16" x14ac:dyDescent="0.25">
      <c r="A78">
        <f t="shared" si="5"/>
        <v>-0.49110795161999998</v>
      </c>
      <c r="B78">
        <f t="shared" si="6"/>
        <v>0.35968901610600001</v>
      </c>
      <c r="C78">
        <f t="shared" si="7"/>
        <v>0.39731209029199999</v>
      </c>
      <c r="D78">
        <f t="shared" si="8"/>
        <v>0.60741413061538618</v>
      </c>
      <c r="E78">
        <f t="shared" si="9"/>
        <v>-4.0140782010932054E-2</v>
      </c>
      <c r="F78">
        <f t="shared" si="10"/>
        <v>-0.28579888316167912</v>
      </c>
      <c r="M78">
        <v>382</v>
      </c>
      <c r="N78">
        <v>-6.7310100000000004</v>
      </c>
      <c r="O78">
        <v>4.9298130000000002</v>
      </c>
      <c r="P78">
        <v>5.4454659999999997</v>
      </c>
    </row>
    <row r="79" spans="1:16" x14ac:dyDescent="0.25">
      <c r="A79">
        <f t="shared" si="5"/>
        <v>-0.53814649840749995</v>
      </c>
      <c r="B79">
        <f t="shared" si="6"/>
        <v>0.35824322957499999</v>
      </c>
      <c r="C79">
        <f t="shared" si="7"/>
        <v>0.42469776423375005</v>
      </c>
      <c r="D79">
        <f t="shared" si="8"/>
        <v>0.6425183912225253</v>
      </c>
      <c r="E79">
        <f t="shared" si="9"/>
        <v>-7.148413967725592E-2</v>
      </c>
      <c r="F79">
        <f t="shared" si="10"/>
        <v>-0.30667266991766184</v>
      </c>
      <c r="M79">
        <v>395</v>
      </c>
      <c r="N79">
        <v>-6.8982086000000002</v>
      </c>
      <c r="O79">
        <v>4.5921260000000004</v>
      </c>
      <c r="P79">
        <v>5.4439707000000004</v>
      </c>
    </row>
    <row r="80" spans="1:16" x14ac:dyDescent="0.25">
      <c r="A80">
        <f t="shared" si="5"/>
        <v>-0.58151586834399993</v>
      </c>
      <c r="B80">
        <f t="shared" si="6"/>
        <v>0.37738081628240006</v>
      </c>
      <c r="C80">
        <f t="shared" si="7"/>
        <v>0.38528326978400002</v>
      </c>
      <c r="D80">
        <f t="shared" si="8"/>
        <v>0.68804264993636033</v>
      </c>
      <c r="E80">
        <f t="shared" si="9"/>
        <v>-8.4701224916750015E-2</v>
      </c>
      <c r="F80">
        <f t="shared" si="10"/>
        <v>-0.2599517208347405</v>
      </c>
      <c r="M80">
        <v>388</v>
      </c>
      <c r="N80">
        <v>-7.7255269999999996</v>
      </c>
      <c r="O80">
        <v>5.0135617000000003</v>
      </c>
      <c r="P80">
        <v>5.1185470000000004</v>
      </c>
    </row>
    <row r="81" spans="1:16" x14ac:dyDescent="0.25">
      <c r="A81">
        <f t="shared" si="5"/>
        <v>-0.433301781981</v>
      </c>
      <c r="B81">
        <f t="shared" si="6"/>
        <v>0.58361203336150003</v>
      </c>
      <c r="C81">
        <f t="shared" si="7"/>
        <v>8.3505695631724986E-3</v>
      </c>
      <c r="D81">
        <f t="shared" si="8"/>
        <v>0.70706713042952463</v>
      </c>
      <c r="E81">
        <f t="shared" si="9"/>
        <v>0.16855121719647206</v>
      </c>
      <c r="F81">
        <f t="shared" si="10"/>
        <v>0.11455803597677527</v>
      </c>
      <c r="M81">
        <v>389</v>
      </c>
      <c r="N81">
        <v>-5.7269220000000001</v>
      </c>
      <c r="O81">
        <v>7.7135629999999997</v>
      </c>
      <c r="P81">
        <v>0.110368945</v>
      </c>
    </row>
    <row r="82" spans="1:16" x14ac:dyDescent="0.25">
      <c r="A82">
        <f t="shared" si="5"/>
        <v>-0.49371669264960005</v>
      </c>
      <c r="B82">
        <f t="shared" si="6"/>
        <v>0.56311828529599994</v>
      </c>
      <c r="C82">
        <f t="shared" si="7"/>
        <v>5.2212076851200002E-2</v>
      </c>
      <c r="D82">
        <f t="shared" si="8"/>
        <v>0.74017446949940213</v>
      </c>
      <c r="E82">
        <f t="shared" si="9"/>
        <v>0.11401811495041166</v>
      </c>
      <c r="F82">
        <f t="shared" si="10"/>
        <v>7.7111960073012284E-2</v>
      </c>
      <c r="M82">
        <v>392</v>
      </c>
      <c r="N82">
        <v>-6.4259253000000003</v>
      </c>
      <c r="O82">
        <v>7.3292155000000001</v>
      </c>
      <c r="P82">
        <v>0.67956159999999999</v>
      </c>
    </row>
    <row r="83" spans="1:16" x14ac:dyDescent="0.25">
      <c r="A83">
        <f t="shared" si="5"/>
        <v>-0.48391740278799994</v>
      </c>
      <c r="B83">
        <f t="shared" si="6"/>
        <v>0.55141455038080001</v>
      </c>
      <c r="C83">
        <f t="shared" si="7"/>
        <v>2.5058157944399997E-2</v>
      </c>
      <c r="D83">
        <f t="shared" si="8"/>
        <v>0.72514476019820862</v>
      </c>
      <c r="E83">
        <f t="shared" si="9"/>
        <v>0.11135140704017109</v>
      </c>
      <c r="F83">
        <f t="shared" si="10"/>
        <v>0.10124344528870177</v>
      </c>
      <c r="M83">
        <v>388</v>
      </c>
      <c r="N83">
        <v>-6.4289164999999997</v>
      </c>
      <c r="O83">
        <v>7.3256264</v>
      </c>
      <c r="P83">
        <v>0.33290144999999999</v>
      </c>
    </row>
    <row r="84" spans="1:16" x14ac:dyDescent="0.25">
      <c r="A84">
        <f t="shared" si="5"/>
        <v>-0.47690201825280004</v>
      </c>
      <c r="B84">
        <f t="shared" si="6"/>
        <v>0.53975096524800004</v>
      </c>
      <c r="C84">
        <f t="shared" si="7"/>
        <v>2.2316880199679999E-2</v>
      </c>
      <c r="D84">
        <f t="shared" si="8"/>
        <v>0.71227345258877595</v>
      </c>
      <c r="E84">
        <f t="shared" si="9"/>
        <v>0.10692599420630369</v>
      </c>
      <c r="F84">
        <f t="shared" si="10"/>
        <v>0.10170798224343397</v>
      </c>
      <c r="M84">
        <v>384</v>
      </c>
      <c r="N84">
        <v>-6.4683976000000003</v>
      </c>
      <c r="O84">
        <v>7.3208409999999997</v>
      </c>
      <c r="P84">
        <v>0.30269205999999999</v>
      </c>
    </row>
    <row r="85" spans="1:16" x14ac:dyDescent="0.25">
      <c r="A85">
        <f t="shared" si="5"/>
        <v>-0.50218019368300004</v>
      </c>
      <c r="B85">
        <f t="shared" si="6"/>
        <v>0.56857726213319992</v>
      </c>
      <c r="C85">
        <f t="shared" si="7"/>
        <v>2.5723066250919999E-2</v>
      </c>
      <c r="D85">
        <f t="shared" si="8"/>
        <v>0.75016684918029741</v>
      </c>
      <c r="E85">
        <f t="shared" si="9"/>
        <v>0.11275969285735905</v>
      </c>
      <c r="F85">
        <f t="shared" si="10"/>
        <v>0.1049337077847794</v>
      </c>
      <c r="M85">
        <v>394</v>
      </c>
      <c r="N85">
        <v>-6.4698935000000004</v>
      </c>
      <c r="O85">
        <v>7.3253273999999999</v>
      </c>
      <c r="P85">
        <v>0.33140594000000001</v>
      </c>
    </row>
    <row r="86" spans="1:16" x14ac:dyDescent="0.25">
      <c r="A86">
        <f t="shared" si="5"/>
        <v>-0.49444754674280006</v>
      </c>
      <c r="B86">
        <f t="shared" si="6"/>
        <v>0.56050040196085005</v>
      </c>
      <c r="C86">
        <f t="shared" si="7"/>
        <v>2.5424289935174999E-2</v>
      </c>
      <c r="D86">
        <f t="shared" si="8"/>
        <v>0.7390515914203003</v>
      </c>
      <c r="E86">
        <f t="shared" si="9"/>
        <v>0.11154291684087075</v>
      </c>
      <c r="F86">
        <f t="shared" si="10"/>
        <v>0.10329778779155083</v>
      </c>
      <c r="M86">
        <v>391</v>
      </c>
      <c r="N86">
        <v>-6.4683976000000003</v>
      </c>
      <c r="O86">
        <v>7.3325056999999996</v>
      </c>
      <c r="P86">
        <v>0.33260234999999999</v>
      </c>
    </row>
    <row r="87" spans="1:16" x14ac:dyDescent="0.25">
      <c r="A87">
        <f t="shared" si="5"/>
        <v>-0.48668662203199997</v>
      </c>
      <c r="B87">
        <f t="shared" si="6"/>
        <v>0.55375602895760001</v>
      </c>
      <c r="C87">
        <f t="shared" si="7"/>
        <v>2.7602248421759998E-2</v>
      </c>
      <c r="D87">
        <f t="shared" si="8"/>
        <v>0.72877117863943208</v>
      </c>
      <c r="E87">
        <f t="shared" si="9"/>
        <v>0.11136506120099904</v>
      </c>
      <c r="F87">
        <f t="shared" si="10"/>
        <v>9.9367730948955388E-2</v>
      </c>
      <c r="M87">
        <v>388</v>
      </c>
      <c r="N87">
        <v>-6.465706</v>
      </c>
      <c r="O87">
        <v>7.3567333000000001</v>
      </c>
      <c r="P87">
        <v>0.36670007999999998</v>
      </c>
    </row>
    <row r="88" spans="1:16" x14ac:dyDescent="0.25">
      <c r="A88">
        <f t="shared" si="5"/>
        <v>-0.49671178778399999</v>
      </c>
      <c r="B88">
        <f t="shared" si="6"/>
        <v>0.5351832605215</v>
      </c>
      <c r="C88">
        <f t="shared" si="7"/>
        <v>2.3603370380520003E-2</v>
      </c>
      <c r="D88">
        <f t="shared" si="8"/>
        <v>0.72451254048957603</v>
      </c>
      <c r="E88">
        <f t="shared" si="9"/>
        <v>9.069344595582142E-2</v>
      </c>
      <c r="F88">
        <f t="shared" si="10"/>
        <v>0.1025663465280764</v>
      </c>
      <c r="M88">
        <v>389</v>
      </c>
      <c r="N88">
        <v>-6.5650079999999997</v>
      </c>
      <c r="O88">
        <v>7.0734830000000004</v>
      </c>
      <c r="P88">
        <v>0.31196424</v>
      </c>
    </row>
    <row r="89" spans="1:16" x14ac:dyDescent="0.25">
      <c r="A89">
        <f t="shared" si="5"/>
        <v>-0.49122557353614998</v>
      </c>
      <c r="B89">
        <f t="shared" si="6"/>
        <v>0.48407393470240001</v>
      </c>
      <c r="C89">
        <f t="shared" si="7"/>
        <v>-1.8866290584134999E-3</v>
      </c>
      <c r="D89">
        <f t="shared" si="8"/>
        <v>0.68745738891542707</v>
      </c>
      <c r="E89">
        <f t="shared" si="9"/>
        <v>5.5067928776795595E-2</v>
      </c>
      <c r="F89">
        <f t="shared" si="10"/>
        <v>0.12123448779760401</v>
      </c>
      <c r="M89">
        <v>383</v>
      </c>
      <c r="N89">
        <v>-6.6975106999999996</v>
      </c>
      <c r="O89">
        <v>6.6000031999999997</v>
      </c>
      <c r="P89">
        <v>-2.5722842999999999E-2</v>
      </c>
    </row>
    <row r="90" spans="1:16" x14ac:dyDescent="0.25">
      <c r="A90">
        <f t="shared" si="5"/>
        <v>-0.13562353136120001</v>
      </c>
      <c r="B90">
        <f t="shared" si="6"/>
        <v>0.15025683321800001</v>
      </c>
      <c r="C90">
        <f t="shared" si="7"/>
        <v>2.7704424613799999E-3</v>
      </c>
      <c r="D90">
        <f t="shared" si="8"/>
        <v>0.20047690380332944</v>
      </c>
      <c r="E90">
        <f t="shared" si="9"/>
        <v>2.7926138813213468E-2</v>
      </c>
      <c r="F90">
        <f t="shared" si="10"/>
        <v>3.2084329206953803E-2</v>
      </c>
      <c r="M90">
        <v>202</v>
      </c>
      <c r="N90">
        <v>-6.6475606000000003</v>
      </c>
      <c r="O90">
        <v>7.3648090000000002</v>
      </c>
      <c r="P90">
        <v>0.13579268999999999</v>
      </c>
    </row>
    <row r="91" spans="1:16" x14ac:dyDescent="0.25">
      <c r="A91">
        <f t="shared" si="5"/>
        <v>-0.49011665619599998</v>
      </c>
      <c r="B91">
        <f t="shared" si="6"/>
        <v>0.54577609595325005</v>
      </c>
      <c r="C91">
        <f t="shared" si="7"/>
        <v>8.9144699920469996E-3</v>
      </c>
      <c r="D91">
        <f t="shared" si="8"/>
        <v>0.72626932905805353</v>
      </c>
      <c r="E91">
        <f t="shared" si="9"/>
        <v>0.10304729624926608</v>
      </c>
      <c r="F91">
        <f t="shared" si="10"/>
        <v>0.11733715167952484</v>
      </c>
      <c r="M91">
        <v>387</v>
      </c>
      <c r="N91">
        <v>-6.5449679999999999</v>
      </c>
      <c r="O91">
        <v>7.2882385000000003</v>
      </c>
      <c r="P91">
        <v>0.11904292599999999</v>
      </c>
    </row>
    <row r="92" spans="1:16" x14ac:dyDescent="0.25">
      <c r="A92">
        <f t="shared" si="5"/>
        <v>-0.49829073371999993</v>
      </c>
      <c r="B92">
        <f t="shared" si="6"/>
        <v>0.55217783204999993</v>
      </c>
      <c r="C92">
        <f t="shared" si="7"/>
        <v>8.0523565199999998E-3</v>
      </c>
      <c r="D92">
        <f t="shared" si="8"/>
        <v>0.73664599210828696</v>
      </c>
      <c r="E92">
        <f t="shared" si="9"/>
        <v>0.10269710721072677</v>
      </c>
      <c r="F92">
        <f t="shared" si="10"/>
        <v>0.11998806821518729</v>
      </c>
      <c r="M92">
        <v>390</v>
      </c>
      <c r="N92">
        <v>-6.5521463999999998</v>
      </c>
      <c r="O92">
        <v>7.2607210000000002</v>
      </c>
      <c r="P92">
        <v>0.1058824</v>
      </c>
    </row>
    <row r="93" spans="1:16" x14ac:dyDescent="0.25">
      <c r="A93">
        <f t="shared" si="5"/>
        <v>-0.44706532884479999</v>
      </c>
      <c r="B93">
        <f t="shared" si="6"/>
        <v>0.54881444413439995</v>
      </c>
      <c r="C93">
        <f t="shared" si="7"/>
        <v>4.9727829934080002E-2</v>
      </c>
      <c r="D93">
        <f t="shared" si="8"/>
        <v>0.69524313365005663</v>
      </c>
      <c r="E93">
        <f t="shared" si="9"/>
        <v>0.13304768866128075</v>
      </c>
      <c r="F93">
        <f t="shared" si="10"/>
        <v>7.1756168412483265E-2</v>
      </c>
      <c r="M93">
        <v>384</v>
      </c>
      <c r="N93">
        <v>-6.0637116000000004</v>
      </c>
      <c r="O93">
        <v>7.4437723</v>
      </c>
      <c r="P93">
        <v>0.67447685999999996</v>
      </c>
    </row>
    <row r="94" spans="1:16" x14ac:dyDescent="0.25">
      <c r="A94">
        <f t="shared" si="5"/>
        <v>-0.10070194</v>
      </c>
      <c r="B94">
        <f t="shared" si="6"/>
        <v>0.17310873999999998</v>
      </c>
      <c r="C94">
        <f t="shared" si="7"/>
        <v>7.2023963999999999E-3</v>
      </c>
      <c r="D94">
        <f t="shared" si="8"/>
        <v>0.18841436478289222</v>
      </c>
      <c r="E94">
        <f t="shared" si="9"/>
        <v>6.7878890147161475E-2</v>
      </c>
      <c r="F94">
        <f t="shared" si="10"/>
        <v>2.5625055585816403E-2</v>
      </c>
      <c r="M94">
        <v>200</v>
      </c>
      <c r="N94">
        <v>-5.0350970000000004</v>
      </c>
      <c r="O94">
        <v>8.6554369999999992</v>
      </c>
      <c r="P94">
        <v>0.36011981999999998</v>
      </c>
    </row>
    <row r="95" spans="1:16" x14ac:dyDescent="0.25">
      <c r="A95">
        <f t="shared" si="5"/>
        <v>-0.37778608073039999</v>
      </c>
      <c r="B95">
        <f t="shared" si="6"/>
        <v>0.64435263285599997</v>
      </c>
      <c r="C95">
        <f t="shared" si="7"/>
        <v>1.5444651447599999E-2</v>
      </c>
      <c r="D95">
        <f t="shared" si="8"/>
        <v>0.70358300134185936</v>
      </c>
      <c r="E95">
        <f t="shared" si="9"/>
        <v>0.25076602338609705</v>
      </c>
      <c r="F95">
        <f t="shared" si="10"/>
        <v>0.10696671387584071</v>
      </c>
      <c r="M95">
        <v>388</v>
      </c>
      <c r="N95">
        <v>-5.0189456999999997</v>
      </c>
      <c r="O95">
        <v>8.5603230000000003</v>
      </c>
      <c r="P95">
        <v>0.20518454999999999</v>
      </c>
    </row>
    <row r="96" spans="1:16" x14ac:dyDescent="0.25">
      <c r="A96">
        <f t="shared" si="5"/>
        <v>-0.320956910235</v>
      </c>
      <c r="B96">
        <f t="shared" si="6"/>
        <v>0.67241729295000008</v>
      </c>
      <c r="C96">
        <f t="shared" si="7"/>
        <v>-2.70004170735E-2</v>
      </c>
      <c r="D96">
        <f t="shared" si="8"/>
        <v>0.67808898962811015</v>
      </c>
      <c r="E96">
        <f t="shared" si="9"/>
        <v>0.30879390575419846</v>
      </c>
      <c r="F96">
        <f t="shared" si="10"/>
        <v>0.14433991945426514</v>
      </c>
      <c r="M96">
        <v>390</v>
      </c>
      <c r="N96">
        <v>-4.2203407000000004</v>
      </c>
      <c r="O96">
        <v>8.8417790000000007</v>
      </c>
      <c r="P96">
        <v>-0.35503507000000001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minus">
                <anchor moveWithCells="1" sizeWithCells="1">
                  <from>
                    <xdr:col>6</xdr:col>
                    <xdr:colOff>647700</xdr:colOff>
                    <xdr:row>2</xdr:row>
                    <xdr:rowOff>12700</xdr:rowOff>
                  </from>
                  <to>
                    <xdr:col>7</xdr:col>
                    <xdr:colOff>139700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plus">
                <anchor moveWithCells="1" sizeWithCells="1">
                  <from>
                    <xdr:col>7</xdr:col>
                    <xdr:colOff>508000</xdr:colOff>
                    <xdr:row>2</xdr:row>
                    <xdr:rowOff>0</xdr:rowOff>
                  </from>
                  <to>
                    <xdr:col>7</xdr:col>
                    <xdr:colOff>774700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minus">
                <anchor moveWithCells="1" sizeWithCells="1">
                  <from>
                    <xdr:col>8</xdr:col>
                    <xdr:colOff>12700</xdr:colOff>
                    <xdr:row>2</xdr:row>
                    <xdr:rowOff>12700</xdr:rowOff>
                  </from>
                  <to>
                    <xdr:col>8</xdr:col>
                    <xdr:colOff>279400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plus">
                <anchor moveWithCells="1" sizeWithCells="1">
                  <from>
                    <xdr:col>8</xdr:col>
                    <xdr:colOff>635000</xdr:colOff>
                    <xdr:row>2</xdr:row>
                    <xdr:rowOff>0</xdr:rowOff>
                  </from>
                  <to>
                    <xdr:col>9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0BCC-132D-4A9A-9464-AF2721727391}">
  <sheetPr codeName="Sheet1"/>
  <dimension ref="A1:W33"/>
  <sheetViews>
    <sheetView tabSelected="1" workbookViewId="0">
      <selection activeCell="A2" sqref="A2:C33"/>
    </sheetView>
  </sheetViews>
  <sheetFormatPr baseColWidth="10" defaultColWidth="8.7109375" defaultRowHeight="19" x14ac:dyDescent="0.25"/>
  <cols>
    <col min="1" max="1" width="12.5703125" bestFit="1" customWidth="1"/>
  </cols>
  <sheetData>
    <row r="1" spans="1:23" x14ac:dyDescent="0.25">
      <c r="A1">
        <v>0</v>
      </c>
      <c r="B1">
        <v>0</v>
      </c>
      <c r="C1">
        <v>0</v>
      </c>
      <c r="H1">
        <f>3.14159/180*H2</f>
        <v>0</v>
      </c>
      <c r="I1">
        <f>3.14159/180*I2</f>
        <v>1.7453277777777776</v>
      </c>
      <c r="R1" t="s">
        <v>10</v>
      </c>
      <c r="U1" s="2"/>
      <c r="V1" s="2"/>
      <c r="W1" s="2"/>
    </row>
    <row r="2" spans="1:23" x14ac:dyDescent="0.25">
      <c r="A2">
        <f>(N2)*$M2^2/2000000</f>
        <v>-6.1148208059439997E-2</v>
      </c>
      <c r="B2">
        <f t="shared" ref="B2:C2" si="0">(O2)*$M2^2/2000000</f>
        <v>0.70838268438399987</v>
      </c>
      <c r="C2">
        <f t="shared" si="0"/>
        <v>-9.4536573721600015E-2</v>
      </c>
      <c r="D2">
        <f t="shared" ref="D2:D19" si="1">SIGN(B2)*COS(ATAN(A2/B2)+$H$1)*SQRT(SUMSQ(A2:B2))</f>
        <v>0.70838268438399987</v>
      </c>
      <c r="E2">
        <f t="shared" ref="E2:E19" si="2">SIGN(B2)*SIN(ATAN(A2/B2)+$H$1)*SQRT(SUMSQ(A2:B2))</f>
        <v>-6.1148208059439997E-2</v>
      </c>
      <c r="F2">
        <f t="shared" ref="F2:F19" si="3">SIGN(D2)*COS(ATAN(C2/D2)+$I$1)*SQRT(SUMSQ(C2:D2))</f>
        <v>-2.9907958844852693E-2</v>
      </c>
      <c r="H2">
        <v>0</v>
      </c>
      <c r="I2">
        <v>100</v>
      </c>
      <c r="M2">
        <v>388</v>
      </c>
      <c r="N2">
        <v>-0.81236326999999997</v>
      </c>
      <c r="O2">
        <v>9.4109719999999992</v>
      </c>
      <c r="P2">
        <v>-1.2559328000000001</v>
      </c>
      <c r="U2" s="2"/>
      <c r="V2" s="2"/>
      <c r="W2" s="2"/>
    </row>
    <row r="3" spans="1:23" x14ac:dyDescent="0.25">
      <c r="A3">
        <f t="shared" ref="A3:A33" si="4">(N3)*$M3^2/2000000</f>
        <v>-2.9306093999999998E-2</v>
      </c>
      <c r="B3">
        <f t="shared" ref="B3:B33" si="5">(O3)*$M3^2/2000000</f>
        <v>0.19755742000000001</v>
      </c>
      <c r="C3">
        <f t="shared" ref="C3:C33" si="6">(P3)*$M3^2/2000000</f>
        <v>-1.5038890799999999E-2</v>
      </c>
      <c r="D3">
        <f t="shared" si="1"/>
        <v>0.19755742000000001</v>
      </c>
      <c r="E3" s="4">
        <f t="shared" si="2"/>
        <v>-2.9306093999999994E-2</v>
      </c>
      <c r="F3" s="4">
        <f t="shared" si="3"/>
        <v>-1.9494779043342333E-2</v>
      </c>
      <c r="H3" s="1">
        <v>10</v>
      </c>
      <c r="I3" s="1">
        <v>10</v>
      </c>
      <c r="M3">
        <v>200</v>
      </c>
      <c r="N3">
        <v>-1.4653046999999999</v>
      </c>
      <c r="O3">
        <v>9.8778710000000007</v>
      </c>
      <c r="P3">
        <v>-0.75194453999999999</v>
      </c>
      <c r="U3" s="2"/>
      <c r="V3" s="2"/>
      <c r="W3" s="2"/>
    </row>
    <row r="4" spans="1:23" x14ac:dyDescent="0.25">
      <c r="A4">
        <f t="shared" si="4"/>
        <v>-0.12513318897200001</v>
      </c>
      <c r="B4">
        <f t="shared" si="5"/>
        <v>0.70865276032000002</v>
      </c>
      <c r="C4">
        <f t="shared" si="6"/>
        <v>-5.6307686286399997E-2</v>
      </c>
      <c r="D4">
        <f t="shared" si="1"/>
        <v>0.70865276032000002</v>
      </c>
      <c r="E4">
        <f t="shared" si="2"/>
        <v>-0.12513318897200004</v>
      </c>
      <c r="F4">
        <f t="shared" si="3"/>
        <v>-6.7602971168448836E-2</v>
      </c>
      <c r="H4" t="s">
        <v>8</v>
      </c>
      <c r="I4" t="s">
        <v>9</v>
      </c>
      <c r="M4">
        <v>388</v>
      </c>
      <c r="N4">
        <v>-1.6624135</v>
      </c>
      <c r="O4">
        <v>9.4145599999999998</v>
      </c>
      <c r="P4">
        <v>-0.74805619999999995</v>
      </c>
      <c r="U4" s="2"/>
      <c r="V4" s="2"/>
      <c r="W4" s="2"/>
    </row>
    <row r="5" spans="1:23" x14ac:dyDescent="0.25">
      <c r="A5">
        <f t="shared" si="4"/>
        <v>-0.33685547045359998</v>
      </c>
      <c r="B5">
        <f t="shared" si="5"/>
        <v>0.66715944668000005</v>
      </c>
      <c r="C5">
        <f t="shared" si="6"/>
        <v>-0.12448028717120001</v>
      </c>
      <c r="D5">
        <f t="shared" si="1"/>
        <v>0.66715944667999993</v>
      </c>
      <c r="E5">
        <f t="shared" si="2"/>
        <v>-0.33685547045359998</v>
      </c>
      <c r="F5">
        <f t="shared" si="3"/>
        <v>6.7391302358047874E-3</v>
      </c>
      <c r="M5">
        <v>388</v>
      </c>
      <c r="N5">
        <v>-4.4751763000000002</v>
      </c>
      <c r="O5">
        <v>8.8633150000000001</v>
      </c>
      <c r="P5">
        <v>-1.6537396</v>
      </c>
      <c r="U5" s="2"/>
      <c r="V5" s="2"/>
      <c r="W5" s="2"/>
    </row>
    <row r="6" spans="1:23" x14ac:dyDescent="0.25">
      <c r="A6">
        <f t="shared" si="4"/>
        <v>-0.32400446243199998</v>
      </c>
      <c r="B6">
        <f t="shared" si="5"/>
        <v>0.67829748223999997</v>
      </c>
      <c r="C6">
        <f t="shared" si="6"/>
        <v>-0.10506762170240001</v>
      </c>
      <c r="D6">
        <f t="shared" si="1"/>
        <v>0.67829748223999997</v>
      </c>
      <c r="E6">
        <f t="shared" si="2"/>
        <v>-0.32400446243199993</v>
      </c>
      <c r="F6">
        <f t="shared" si="3"/>
        <v>-1.4312701601386577E-2</v>
      </c>
      <c r="M6">
        <v>392</v>
      </c>
      <c r="N6">
        <v>-4.2170509999999997</v>
      </c>
      <c r="O6">
        <v>8.8283199999999997</v>
      </c>
      <c r="P6">
        <v>-1.3674982</v>
      </c>
      <c r="U6" s="2"/>
      <c r="V6" s="2"/>
      <c r="W6" s="2"/>
    </row>
    <row r="7" spans="1:23" x14ac:dyDescent="0.25">
      <c r="A7">
        <f t="shared" si="4"/>
        <v>-0.31566247413120008</v>
      </c>
      <c r="B7">
        <f t="shared" si="5"/>
        <v>0.71747942044799995</v>
      </c>
      <c r="C7">
        <f t="shared" si="6"/>
        <v>-3.8354737236479995E-2</v>
      </c>
      <c r="D7">
        <f t="shared" si="1"/>
        <v>0.71747942044799995</v>
      </c>
      <c r="E7">
        <f t="shared" si="2"/>
        <v>-0.31566247413120002</v>
      </c>
      <c r="F7">
        <f t="shared" si="3"/>
        <v>-8.6815899809479652E-2</v>
      </c>
      <c r="M7">
        <v>392</v>
      </c>
      <c r="N7">
        <v>-4.1084766000000004</v>
      </c>
      <c r="O7">
        <v>9.3382889999999996</v>
      </c>
      <c r="P7">
        <v>-0.49920263999999998</v>
      </c>
      <c r="U7" s="2"/>
      <c r="V7" s="2"/>
      <c r="W7" s="2"/>
    </row>
    <row r="8" spans="1:23" x14ac:dyDescent="0.25">
      <c r="A8">
        <f t="shared" si="4"/>
        <v>-0.2459835729</v>
      </c>
      <c r="B8">
        <f t="shared" si="5"/>
        <v>0.65362845599999997</v>
      </c>
      <c r="C8">
        <f t="shared" si="6"/>
        <v>1.6832610405E-3</v>
      </c>
      <c r="D8">
        <f t="shared" si="1"/>
        <v>0.65362845599999997</v>
      </c>
      <c r="E8">
        <f t="shared" si="2"/>
        <v>-0.2459835729</v>
      </c>
      <c r="F8">
        <f t="shared" si="3"/>
        <v>-0.11515813025866542</v>
      </c>
      <c r="M8">
        <v>390</v>
      </c>
      <c r="N8">
        <v>-3.2344979999999999</v>
      </c>
      <c r="O8">
        <v>8.5947200000000006</v>
      </c>
      <c r="P8">
        <v>2.2133610000000001E-2</v>
      </c>
      <c r="U8" s="2"/>
      <c r="V8" s="2"/>
      <c r="W8" s="2"/>
    </row>
    <row r="9" spans="1:23" x14ac:dyDescent="0.25">
      <c r="A9">
        <f t="shared" si="4"/>
        <v>-0.29545607577599997</v>
      </c>
      <c r="B9">
        <f t="shared" si="5"/>
        <v>0.72159385190400005</v>
      </c>
      <c r="C9">
        <f t="shared" si="6"/>
        <v>6.4083849707519999E-2</v>
      </c>
      <c r="D9">
        <f t="shared" si="1"/>
        <v>0.72159385190400005</v>
      </c>
      <c r="E9">
        <f t="shared" si="2"/>
        <v>-0.29545607577599997</v>
      </c>
      <c r="F9">
        <f t="shared" si="3"/>
        <v>-0.18841269821425999</v>
      </c>
      <c r="M9">
        <v>384</v>
      </c>
      <c r="N9">
        <v>-4.0073794999999999</v>
      </c>
      <c r="O9">
        <v>9.7872430000000001</v>
      </c>
      <c r="P9">
        <v>0.86919283999999997</v>
      </c>
      <c r="U9" s="2"/>
      <c r="V9" s="2"/>
      <c r="W9" s="2"/>
    </row>
    <row r="10" spans="1:23" x14ac:dyDescent="0.25">
      <c r="A10">
        <f t="shared" si="4"/>
        <v>-8.3228508464800011E-2</v>
      </c>
      <c r="B10">
        <f t="shared" si="5"/>
        <v>0.73261984698400007</v>
      </c>
      <c r="C10">
        <f t="shared" si="6"/>
        <v>0.12243993450940001</v>
      </c>
      <c r="D10">
        <f t="shared" si="1"/>
        <v>0.73261984698400007</v>
      </c>
      <c r="E10">
        <f t="shared" si="2"/>
        <v>-8.3228508464800011E-2</v>
      </c>
      <c r="F10">
        <f t="shared" si="3"/>
        <v>-0.24779686584623933</v>
      </c>
      <c r="M10">
        <v>394</v>
      </c>
      <c r="N10">
        <v>-1.0722836</v>
      </c>
      <c r="O10">
        <v>9.4387880000000006</v>
      </c>
      <c r="P10">
        <v>1.5774683</v>
      </c>
      <c r="U10" s="2"/>
      <c r="V10" s="2"/>
      <c r="W10" s="2"/>
    </row>
    <row r="11" spans="1:23" x14ac:dyDescent="0.25">
      <c r="A11">
        <f t="shared" si="4"/>
        <v>-6.4948875304969997E-2</v>
      </c>
      <c r="B11">
        <f t="shared" si="5"/>
        <v>0.72765369882625008</v>
      </c>
      <c r="C11">
        <f t="shared" si="6"/>
        <v>3.7792550642664999E-2</v>
      </c>
      <c r="D11">
        <f t="shared" si="1"/>
        <v>0.72765369882625008</v>
      </c>
      <c r="E11">
        <f t="shared" si="2"/>
        <v>-6.4948875304969997E-2</v>
      </c>
      <c r="F11">
        <f t="shared" si="3"/>
        <v>-0.16357308890519659</v>
      </c>
      <c r="M11">
        <v>389</v>
      </c>
      <c r="N11">
        <v>-0.85842514000000003</v>
      </c>
      <c r="O11">
        <v>9.6173525000000009</v>
      </c>
      <c r="P11">
        <v>0.49950172999999998</v>
      </c>
      <c r="U11" s="2"/>
      <c r="V11" s="2"/>
      <c r="W11" s="2"/>
    </row>
    <row r="12" spans="1:23" x14ac:dyDescent="0.25">
      <c r="A12">
        <f t="shared" si="4"/>
        <v>2.6761357805E-2</v>
      </c>
      <c r="B12">
        <f t="shared" si="5"/>
        <v>0.71357678356200005</v>
      </c>
      <c r="C12">
        <f t="shared" si="6"/>
        <v>4.7239032803999999E-2</v>
      </c>
      <c r="D12">
        <f t="shared" si="1"/>
        <v>0.71357678356200005</v>
      </c>
      <c r="E12">
        <f t="shared" si="2"/>
        <v>2.6761357805000007E-2</v>
      </c>
      <c r="F12">
        <f t="shared" si="3"/>
        <v>-0.17043164994895252</v>
      </c>
      <c r="M12">
        <v>386</v>
      </c>
      <c r="N12">
        <v>0.3592225</v>
      </c>
      <c r="O12">
        <v>9.5784690000000001</v>
      </c>
      <c r="P12">
        <v>0.63409800000000005</v>
      </c>
      <c r="U12" s="2"/>
      <c r="V12" s="2"/>
      <c r="W12" s="2"/>
    </row>
    <row r="13" spans="1:23" x14ac:dyDescent="0.25">
      <c r="A13">
        <f t="shared" si="4"/>
        <v>0.17664537141039999</v>
      </c>
      <c r="B13">
        <f t="shared" si="5"/>
        <v>0.72074287368800005</v>
      </c>
      <c r="C13">
        <f t="shared" si="6"/>
        <v>-2.6071290461040002E-2</v>
      </c>
      <c r="D13">
        <f t="shared" si="1"/>
        <v>0.72074287368800005</v>
      </c>
      <c r="E13">
        <f t="shared" si="2"/>
        <v>0.17664537141039996</v>
      </c>
      <c r="F13">
        <f t="shared" si="3"/>
        <v>-9.9479424542214201E-2</v>
      </c>
      <c r="M13">
        <v>388</v>
      </c>
      <c r="N13">
        <v>2.3467606999999999</v>
      </c>
      <c r="O13">
        <v>9.5751790000000003</v>
      </c>
      <c r="P13">
        <v>-0.34636106999999999</v>
      </c>
      <c r="U13" s="2"/>
      <c r="V13" s="2"/>
      <c r="W13" s="2"/>
    </row>
    <row r="14" spans="1:23" x14ac:dyDescent="0.25">
      <c r="A14">
        <f t="shared" si="4"/>
        <v>0.28406002922415002</v>
      </c>
      <c r="B14">
        <f t="shared" si="5"/>
        <v>0.68880740285249997</v>
      </c>
      <c r="C14">
        <f t="shared" si="6"/>
        <v>-8.2922061830399997E-3</v>
      </c>
      <c r="D14">
        <f t="shared" si="1"/>
        <v>0.68880740285249997</v>
      </c>
      <c r="E14">
        <f t="shared" si="2"/>
        <v>0.28406002922415002</v>
      </c>
      <c r="F14">
        <f t="shared" si="3"/>
        <v>-0.11144291918302188</v>
      </c>
      <c r="M14">
        <v>393</v>
      </c>
      <c r="N14">
        <v>3.6783667000000002</v>
      </c>
      <c r="O14">
        <v>8.9195449999999994</v>
      </c>
      <c r="P14">
        <v>-0.10737792</v>
      </c>
      <c r="U14" s="2"/>
      <c r="V14" s="2"/>
      <c r="W14" s="2"/>
    </row>
    <row r="15" spans="1:23" x14ac:dyDescent="0.25">
      <c r="A15">
        <f t="shared" si="4"/>
        <v>0.38573354688799999</v>
      </c>
      <c r="B15">
        <f t="shared" si="5"/>
        <v>0.616750390456</v>
      </c>
      <c r="C15">
        <f t="shared" si="6"/>
        <v>-5.6285172431199994E-2</v>
      </c>
      <c r="D15">
        <f t="shared" si="1"/>
        <v>0.616750390456</v>
      </c>
      <c r="E15">
        <f t="shared" si="2"/>
        <v>0.38573354688799993</v>
      </c>
      <c r="F15">
        <f t="shared" si="3"/>
        <v>-5.1666597368913554E-2</v>
      </c>
      <c r="M15">
        <v>388</v>
      </c>
      <c r="N15">
        <v>5.1245289999999999</v>
      </c>
      <c r="O15">
        <v>8.1936230000000005</v>
      </c>
      <c r="P15">
        <v>-0.74775709999999995</v>
      </c>
      <c r="U15" s="2"/>
      <c r="V15" s="2"/>
      <c r="W15" s="2"/>
    </row>
    <row r="16" spans="1:23" x14ac:dyDescent="0.25">
      <c r="A16">
        <f t="shared" si="4"/>
        <v>0.42446217178200008</v>
      </c>
      <c r="B16">
        <f t="shared" si="5"/>
        <v>0.6127665403275</v>
      </c>
      <c r="C16">
        <f t="shared" si="6"/>
        <v>-0.10661282661825</v>
      </c>
      <c r="D16">
        <f t="shared" si="1"/>
        <v>0.6127665403275</v>
      </c>
      <c r="E16">
        <f t="shared" si="2"/>
        <v>0.42446217178200008</v>
      </c>
      <c r="F16">
        <f t="shared" si="3"/>
        <v>-1.4117379199358867E-3</v>
      </c>
      <c r="M16">
        <v>391</v>
      </c>
      <c r="N16">
        <v>5.5528440000000003</v>
      </c>
      <c r="O16">
        <v>8.0162549999999992</v>
      </c>
      <c r="P16">
        <v>-1.3947164999999999</v>
      </c>
      <c r="U16" s="2"/>
      <c r="V16" s="2"/>
      <c r="W16" s="2"/>
    </row>
    <row r="17" spans="1:23" x14ac:dyDescent="0.25">
      <c r="A17">
        <f t="shared" si="4"/>
        <v>0.43248227092599995</v>
      </c>
      <c r="B17">
        <f t="shared" si="5"/>
        <v>0.56711351441739999</v>
      </c>
      <c r="C17">
        <f t="shared" si="6"/>
        <v>9.4255242090000007E-3</v>
      </c>
      <c r="D17">
        <f t="shared" si="1"/>
        <v>0.56711351441739999</v>
      </c>
      <c r="E17">
        <f t="shared" si="2"/>
        <v>0.43248227092599995</v>
      </c>
      <c r="F17">
        <f t="shared" si="3"/>
        <v>-0.10775973669218745</v>
      </c>
      <c r="M17">
        <v>386</v>
      </c>
      <c r="N17">
        <v>5.8052869999999999</v>
      </c>
      <c r="O17">
        <v>7.6124663000000004</v>
      </c>
      <c r="P17">
        <v>0.12652050000000001</v>
      </c>
      <c r="U17" s="2"/>
      <c r="V17" s="2"/>
      <c r="W17" s="2"/>
    </row>
    <row r="18" spans="1:23" x14ac:dyDescent="0.25">
      <c r="A18">
        <f t="shared" si="4"/>
        <v>0.47714064957360003</v>
      </c>
      <c r="B18">
        <f t="shared" si="5"/>
        <v>0.53860405386400001</v>
      </c>
      <c r="C18">
        <f t="shared" si="6"/>
        <v>-0.18074293069280001</v>
      </c>
      <c r="D18">
        <f t="shared" si="1"/>
        <v>0.53860405386400001</v>
      </c>
      <c r="E18">
        <f t="shared" si="2"/>
        <v>0.47714064957360008</v>
      </c>
      <c r="F18">
        <f t="shared" si="3"/>
        <v>8.4470255236188979E-2</v>
      </c>
      <c r="M18">
        <v>388</v>
      </c>
      <c r="N18">
        <v>6.3388863000000004</v>
      </c>
      <c r="O18">
        <v>7.155437</v>
      </c>
      <c r="P18">
        <v>-2.4011974</v>
      </c>
      <c r="U18" s="2"/>
      <c r="V18" s="2"/>
      <c r="W18" s="2"/>
    </row>
    <row r="19" spans="1:23" x14ac:dyDescent="0.25">
      <c r="A19">
        <f t="shared" si="4"/>
        <v>0.47638561113000005</v>
      </c>
      <c r="B19">
        <f t="shared" si="5"/>
        <v>0.55170016200000005</v>
      </c>
      <c r="C19">
        <f t="shared" si="6"/>
        <v>-0.152903795265</v>
      </c>
      <c r="D19">
        <f t="shared" si="1"/>
        <v>0.55170016200000016</v>
      </c>
      <c r="E19">
        <f t="shared" si="2"/>
        <v>0.47638561113000005</v>
      </c>
      <c r="F19">
        <f t="shared" si="3"/>
        <v>5.4779955403931879E-2</v>
      </c>
      <c r="M19">
        <v>390</v>
      </c>
      <c r="N19">
        <v>6.2641106000000004</v>
      </c>
      <c r="O19">
        <v>7.2544399999999998</v>
      </c>
      <c r="P19">
        <v>-2.0105692999999998</v>
      </c>
    </row>
    <row r="20" spans="1:23" x14ac:dyDescent="0.25">
      <c r="A20">
        <f t="shared" si="4"/>
        <v>0.45177358005000001</v>
      </c>
      <c r="B20">
        <f t="shared" si="5"/>
        <v>0.51710234004</v>
      </c>
      <c r="C20">
        <f t="shared" si="6"/>
        <v>-0.20531235991500002</v>
      </c>
      <c r="D20">
        <f t="shared" ref="D20:D31" si="7">SIGN(B20)*COS(ATAN(A20/B20)+$H$1)*SQRT(SUMSQ(A20:B20))</f>
        <v>0.51710234004</v>
      </c>
      <c r="E20">
        <f t="shared" ref="E20:E31" si="8">SIGN(B20)*SIN(ATAN(A20/B20)+$H$1)*SQRT(SUMSQ(A20:B20))</f>
        <v>0.45177358005000001</v>
      </c>
      <c r="F20">
        <f t="shared" ref="F20:F31" si="9">SIGN(D20)*COS(ATAN(C20/D20)+$I$1)*SQRT(SUMSQ(C20:D20))</f>
        <v>0.11240012811655506</v>
      </c>
      <c r="M20">
        <v>390</v>
      </c>
      <c r="N20">
        <v>5.9404810000000001</v>
      </c>
      <c r="O20">
        <v>6.7995048000000002</v>
      </c>
      <c r="P20">
        <v>-2.6997023000000002</v>
      </c>
    </row>
    <row r="21" spans="1:23" x14ac:dyDescent="0.25">
      <c r="A21">
        <f t="shared" si="4"/>
        <v>0.39514712245514999</v>
      </c>
      <c r="B21">
        <f t="shared" si="5"/>
        <v>0.57756973286915003</v>
      </c>
      <c r="C21">
        <f t="shared" si="6"/>
        <v>-0.27846545896210001</v>
      </c>
      <c r="D21">
        <f t="shared" si="7"/>
        <v>0.57756973286915003</v>
      </c>
      <c r="E21">
        <f t="shared" si="8"/>
        <v>0.39514712245514999</v>
      </c>
      <c r="F21">
        <f t="shared" si="9"/>
        <v>0.17394192115648235</v>
      </c>
      <c r="M21">
        <v>389</v>
      </c>
      <c r="N21">
        <v>5.2226343000000002</v>
      </c>
      <c r="O21">
        <v>7.6337023000000004</v>
      </c>
      <c r="P21">
        <v>-3.6804602000000002</v>
      </c>
    </row>
    <row r="22" spans="1:23" x14ac:dyDescent="0.25">
      <c r="A22">
        <f t="shared" si="4"/>
        <v>0.27666213317099997</v>
      </c>
      <c r="B22">
        <f t="shared" si="5"/>
        <v>0.62853735952800005</v>
      </c>
      <c r="C22">
        <f t="shared" si="6"/>
        <v>-0.29321439337439997</v>
      </c>
      <c r="D22">
        <f t="shared" si="7"/>
        <v>0.62853735952800005</v>
      </c>
      <c r="E22">
        <f t="shared" si="8"/>
        <v>0.27666213317099997</v>
      </c>
      <c r="F22">
        <f t="shared" si="9"/>
        <v>0.17961642839652789</v>
      </c>
      <c r="M22">
        <v>387</v>
      </c>
      <c r="N22">
        <v>3.694518</v>
      </c>
      <c r="O22">
        <v>8.3934239999999996</v>
      </c>
      <c r="P22">
        <v>-3.9155552</v>
      </c>
    </row>
    <row r="23" spans="1:23" x14ac:dyDescent="0.25">
      <c r="A23">
        <f t="shared" si="4"/>
        <v>0.24313120250975001</v>
      </c>
      <c r="B23">
        <f t="shared" si="5"/>
        <v>0.64290076135649998</v>
      </c>
      <c r="C23">
        <f t="shared" si="6"/>
        <v>-0.29587744836879998</v>
      </c>
      <c r="D23">
        <f t="shared" si="7"/>
        <v>0.64290076135650009</v>
      </c>
      <c r="E23">
        <f t="shared" si="8"/>
        <v>0.24313120250975001</v>
      </c>
      <c r="F23">
        <f t="shared" si="9"/>
        <v>0.17974486858389524</v>
      </c>
      <c r="M23">
        <v>391</v>
      </c>
      <c r="N23">
        <v>3.1806595</v>
      </c>
      <c r="O23">
        <v>8.4104729999999996</v>
      </c>
      <c r="P23">
        <v>-3.8706896</v>
      </c>
    </row>
    <row r="24" spans="1:23" x14ac:dyDescent="0.25">
      <c r="A24">
        <f t="shared" si="4"/>
        <v>4.3609747754800005E-2</v>
      </c>
      <c r="B24">
        <f t="shared" si="5"/>
        <v>0.71680291139200003</v>
      </c>
      <c r="C24">
        <f t="shared" si="6"/>
        <v>-0.26721947650799999</v>
      </c>
      <c r="D24">
        <f t="shared" si="7"/>
        <v>0.71680291139200003</v>
      </c>
      <c r="E24">
        <f t="shared" si="8"/>
        <v>4.3609747754800011E-2</v>
      </c>
      <c r="F24">
        <f t="shared" si="9"/>
        <v>0.13868940198679891</v>
      </c>
      <c r="M24">
        <v>388</v>
      </c>
      <c r="N24">
        <v>0.57936215000000002</v>
      </c>
      <c r="O24">
        <v>9.5228359999999999</v>
      </c>
      <c r="P24">
        <v>-3.5500514999999999</v>
      </c>
    </row>
    <row r="25" spans="1:23" x14ac:dyDescent="0.25">
      <c r="A25">
        <f t="shared" si="4"/>
        <v>-3.9012635865150004E-2</v>
      </c>
      <c r="B25">
        <f t="shared" si="5"/>
        <v>0.70959569768100006</v>
      </c>
      <c r="C25">
        <f t="shared" si="6"/>
        <v>-0.21973191260985001</v>
      </c>
      <c r="D25">
        <f t="shared" si="7"/>
        <v>0.70959569768100006</v>
      </c>
      <c r="E25">
        <f t="shared" si="8"/>
        <v>-3.9012635865150004E-2</v>
      </c>
      <c r="F25">
        <f t="shared" si="9"/>
        <v>9.3174777795102887E-2</v>
      </c>
      <c r="M25">
        <v>393</v>
      </c>
      <c r="N25">
        <v>-0.50518470000000004</v>
      </c>
      <c r="O25">
        <v>9.1887380000000007</v>
      </c>
      <c r="P25">
        <v>-2.8453653000000001</v>
      </c>
    </row>
    <row r="26" spans="1:23" x14ac:dyDescent="0.25">
      <c r="A26">
        <f t="shared" si="4"/>
        <v>-0.15826543281224997</v>
      </c>
      <c r="B26">
        <f t="shared" si="5"/>
        <v>0.68910199613099998</v>
      </c>
      <c r="C26">
        <f t="shared" si="6"/>
        <v>-0.2153135756682</v>
      </c>
      <c r="D26">
        <f t="shared" si="7"/>
        <v>0.68910199613099998</v>
      </c>
      <c r="E26">
        <f t="shared" si="8"/>
        <v>-0.15826543281225</v>
      </c>
      <c r="F26">
        <f t="shared" si="9"/>
        <v>9.2382228363118296E-2</v>
      </c>
      <c r="M26">
        <v>387</v>
      </c>
      <c r="N26">
        <v>-2.1134605</v>
      </c>
      <c r="O26">
        <v>9.2021979999999992</v>
      </c>
      <c r="P26">
        <v>-2.8752756000000002</v>
      </c>
    </row>
    <row r="27" spans="1:23" x14ac:dyDescent="0.25">
      <c r="A27">
        <f t="shared" si="4"/>
        <v>-0.1248269193018</v>
      </c>
      <c r="B27">
        <f t="shared" si="5"/>
        <v>0.70310400371799997</v>
      </c>
      <c r="C27">
        <f t="shared" si="6"/>
        <v>-0.17716866281660001</v>
      </c>
      <c r="D27">
        <f t="shared" si="7"/>
        <v>0.70310400371799997</v>
      </c>
      <c r="E27">
        <f t="shared" si="8"/>
        <v>-0.1248269193018</v>
      </c>
      <c r="F27">
        <f t="shared" si="9"/>
        <v>5.2385409911255537E-2</v>
      </c>
      <c r="M27">
        <v>386</v>
      </c>
      <c r="N27">
        <v>-1.6755741</v>
      </c>
      <c r="O27">
        <v>9.4378910000000005</v>
      </c>
      <c r="P27">
        <v>-2.3781667</v>
      </c>
    </row>
    <row r="28" spans="1:23" x14ac:dyDescent="0.25">
      <c r="A28">
        <f t="shared" si="4"/>
        <v>-0.13544805478400002</v>
      </c>
      <c r="B28">
        <f t="shared" si="5"/>
        <v>0.71529631599999999</v>
      </c>
      <c r="C28">
        <f t="shared" si="6"/>
        <v>-0.17862874516480001</v>
      </c>
      <c r="D28">
        <f t="shared" si="7"/>
        <v>0.71529631599999999</v>
      </c>
      <c r="E28">
        <f t="shared" si="8"/>
        <v>-0.13544805478399999</v>
      </c>
      <c r="F28">
        <f t="shared" si="9"/>
        <v>5.1706155593299642E-2</v>
      </c>
      <c r="M28">
        <v>392</v>
      </c>
      <c r="N28">
        <v>-1.762912</v>
      </c>
      <c r="O28">
        <v>9.3098749999999999</v>
      </c>
      <c r="P28">
        <v>-2.3249263999999998</v>
      </c>
    </row>
    <row r="29" spans="1:23" x14ac:dyDescent="0.25">
      <c r="A29">
        <f t="shared" si="4"/>
        <v>-0.14920073352400001</v>
      </c>
      <c r="B29">
        <f t="shared" si="5"/>
        <v>0.70561342750399991</v>
      </c>
      <c r="C29">
        <f t="shared" si="6"/>
        <v>-0.17423638137679998</v>
      </c>
      <c r="D29">
        <f t="shared" si="7"/>
        <v>0.70561342750399991</v>
      </c>
      <c r="E29">
        <f t="shared" si="8"/>
        <v>-0.14920073352400001</v>
      </c>
      <c r="F29">
        <f t="shared" si="9"/>
        <v>4.9061922440479196E-2</v>
      </c>
      <c r="M29">
        <v>388</v>
      </c>
      <c r="N29">
        <v>-1.9821545</v>
      </c>
      <c r="O29">
        <v>9.3741819999999993</v>
      </c>
      <c r="P29">
        <v>-2.3147568999999999</v>
      </c>
    </row>
    <row r="30" spans="1:23" x14ac:dyDescent="0.25">
      <c r="A30">
        <f t="shared" si="4"/>
        <v>-0.15929563045499998</v>
      </c>
      <c r="B30">
        <f t="shared" si="5"/>
        <v>0.71306571374999994</v>
      </c>
      <c r="C30">
        <f t="shared" si="6"/>
        <v>-0.15470078071500001</v>
      </c>
      <c r="D30">
        <f t="shared" si="7"/>
        <v>0.71306571374999994</v>
      </c>
      <c r="E30">
        <f t="shared" si="8"/>
        <v>-0.15929563045499998</v>
      </c>
      <c r="F30">
        <f t="shared" si="9"/>
        <v>2.8529041341301211E-2</v>
      </c>
      <c r="M30">
        <v>390</v>
      </c>
      <c r="N30">
        <v>-2.0946170999999998</v>
      </c>
      <c r="O30">
        <v>9.3762749999999997</v>
      </c>
      <c r="P30">
        <v>-2.0341982999999999</v>
      </c>
    </row>
    <row r="31" spans="1:23" x14ac:dyDescent="0.25">
      <c r="A31">
        <f t="shared" si="4"/>
        <v>-0.18866788299519999</v>
      </c>
      <c r="B31">
        <f t="shared" si="5"/>
        <v>0.70910311269600002</v>
      </c>
      <c r="C31">
        <f t="shared" si="6"/>
        <v>-3.2442772452959998E-2</v>
      </c>
      <c r="D31">
        <f t="shared" si="7"/>
        <v>0.70910311269600002</v>
      </c>
      <c r="E31">
        <f t="shared" si="8"/>
        <v>-0.18866788299519996</v>
      </c>
      <c r="F31">
        <f t="shared" si="9"/>
        <v>-9.1183531661432254E-2</v>
      </c>
      <c r="M31">
        <v>388</v>
      </c>
      <c r="N31">
        <v>-2.5064815999999999</v>
      </c>
      <c r="O31">
        <v>9.4205430000000003</v>
      </c>
      <c r="P31">
        <v>-0.43100717999999999</v>
      </c>
    </row>
    <row r="32" spans="1:23" x14ac:dyDescent="0.25">
      <c r="A32">
        <f t="shared" si="4"/>
        <v>-0.17435758528710002</v>
      </c>
      <c r="B32">
        <f t="shared" si="5"/>
        <v>0.72038536214600002</v>
      </c>
      <c r="C32">
        <f t="shared" si="6"/>
        <v>9.3923550737250006E-2</v>
      </c>
      <c r="D32">
        <f t="shared" ref="D32:D33" si="10">SIGN(B32)*COS(ATAN(A32/B32)+$H$1)*SQRT(SUMSQ(A32:B32))</f>
        <v>0.72038536214599991</v>
      </c>
      <c r="E32">
        <f t="shared" ref="E32:E33" si="11">SIGN(B32)*SIN(ATAN(A32/B32)+$H$1)*SQRT(SUMSQ(A32:B32))</f>
        <v>-0.17435758528709999</v>
      </c>
      <c r="F32">
        <f t="shared" ref="F32:F33" si="12">SIGN(D32)*COS(ATAN(C32/D32)+$I$1)*SQRT(SUMSQ(C32:D32))</f>
        <v>-0.21758922448499116</v>
      </c>
      <c r="M32">
        <v>391</v>
      </c>
      <c r="N32">
        <v>-2.2809582000000002</v>
      </c>
      <c r="O32">
        <v>9.4241320000000002</v>
      </c>
      <c r="P32">
        <v>1.2287144999999999</v>
      </c>
    </row>
    <row r="33" spans="1:16" x14ac:dyDescent="0.25">
      <c r="A33">
        <f t="shared" si="4"/>
        <v>-0.141147260464</v>
      </c>
      <c r="B33">
        <f t="shared" si="5"/>
        <v>0.72453451884800002</v>
      </c>
      <c r="C33">
        <f t="shared" si="6"/>
        <v>0.1732512581184</v>
      </c>
      <c r="D33">
        <f t="shared" si="10"/>
        <v>0.72453451884800002</v>
      </c>
      <c r="E33">
        <f t="shared" si="11"/>
        <v>-0.141147260464</v>
      </c>
      <c r="F33">
        <f t="shared" si="12"/>
        <v>-0.29643227352637236</v>
      </c>
      <c r="M33">
        <v>392</v>
      </c>
      <c r="N33">
        <v>-1.8370895</v>
      </c>
      <c r="O33">
        <v>9.4301139999999997</v>
      </c>
      <c r="P33">
        <v>2.2549361999999999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minus">
                <anchor moveWithCells="1" sizeWithCells="1">
                  <from>
                    <xdr:col>6</xdr:col>
                    <xdr:colOff>647700</xdr:colOff>
                    <xdr:row>2</xdr:row>
                    <xdr:rowOff>12700</xdr:rowOff>
                  </from>
                  <to>
                    <xdr:col>7</xdr:col>
                    <xdr:colOff>139700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plus">
                <anchor moveWithCells="1" sizeWithCells="1">
                  <from>
                    <xdr:col>7</xdr:col>
                    <xdr:colOff>508000</xdr:colOff>
                    <xdr:row>2</xdr:row>
                    <xdr:rowOff>0</xdr:rowOff>
                  </from>
                  <to>
                    <xdr:col>7</xdr:col>
                    <xdr:colOff>774700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inus">
                <anchor moveWithCells="1" sizeWithCells="1">
                  <from>
                    <xdr:col>8</xdr:col>
                    <xdr:colOff>12700</xdr:colOff>
                    <xdr:row>2</xdr:row>
                    <xdr:rowOff>12700</xdr:rowOff>
                  </from>
                  <to>
                    <xdr:col>8</xdr:col>
                    <xdr:colOff>279400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plus">
                <anchor moveWithCells="1" sizeWithCells="1">
                  <from>
                    <xdr:col>8</xdr:col>
                    <xdr:colOff>635000</xdr:colOff>
                    <xdr:row>2</xdr:row>
                    <xdr:rowOff>0</xdr:rowOff>
                  </from>
                  <to>
                    <xdr:col>9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1DED-69A7-1147-AA97-DE9D298993A8}">
  <sheetPr codeName="Sheet2"/>
  <dimension ref="A1:MA40"/>
  <sheetViews>
    <sheetView topLeftCell="A2" workbookViewId="0">
      <selection activeCell="A2" sqref="A2:D40"/>
    </sheetView>
  </sheetViews>
  <sheetFormatPr baseColWidth="10" defaultRowHeight="19" x14ac:dyDescent="0.25"/>
  <cols>
    <col min="1" max="1" width="6.85546875" bestFit="1" customWidth="1"/>
    <col min="2" max="2" width="13" bestFit="1" customWidth="1"/>
    <col min="3" max="3" width="7" bestFit="1" customWidth="1"/>
    <col min="4" max="4" width="12.5703125" bestFit="1" customWidth="1"/>
    <col min="5" max="5" width="12" bestFit="1" customWidth="1"/>
    <col min="6" max="6" width="1.85546875" bestFit="1" customWidth="1"/>
    <col min="7" max="7" width="10.5703125" bestFit="1" customWidth="1"/>
    <col min="8" max="8" width="1.85546875" bestFit="1" customWidth="1"/>
    <col min="9" max="9" width="8.5703125" bestFit="1" customWidth="1"/>
    <col min="10" max="10" width="1.85546875" bestFit="1" customWidth="1"/>
    <col min="11" max="11" width="10.140625" bestFit="1" customWidth="1"/>
    <col min="12" max="13" width="12" bestFit="1" customWidth="1"/>
    <col min="14" max="14" width="1.85546875" bestFit="1" customWidth="1"/>
    <col min="15" max="15" width="10.5703125" bestFit="1" customWidth="1"/>
    <col min="16" max="16" width="1.85546875" bestFit="1" customWidth="1"/>
    <col min="17" max="17" width="9" bestFit="1" customWidth="1"/>
    <col min="18" max="18" width="1.85546875" bestFit="1" customWidth="1"/>
    <col min="19" max="19" width="10.140625" bestFit="1" customWidth="1"/>
    <col min="20" max="21" width="12" bestFit="1" customWidth="1"/>
    <col min="22" max="22" width="1.85546875" bestFit="1" customWidth="1"/>
    <col min="23" max="23" width="10.5703125" bestFit="1" customWidth="1"/>
    <col min="24" max="24" width="1.85546875" bestFit="1" customWidth="1"/>
    <col min="25" max="25" width="8.5703125" bestFit="1" customWidth="1"/>
    <col min="26" max="26" width="1.85546875" bestFit="1" customWidth="1"/>
    <col min="27" max="27" width="10.140625" bestFit="1" customWidth="1"/>
    <col min="28" max="29" width="12" bestFit="1" customWidth="1"/>
    <col min="30" max="30" width="1.85546875" bestFit="1" customWidth="1"/>
    <col min="31" max="31" width="10.5703125" bestFit="1" customWidth="1"/>
    <col min="32" max="32" width="1.85546875" bestFit="1" customWidth="1"/>
    <col min="33" max="33" width="9" bestFit="1" customWidth="1"/>
    <col min="34" max="34" width="1.85546875" bestFit="1" customWidth="1"/>
    <col min="35" max="35" width="10.140625" bestFit="1" customWidth="1"/>
    <col min="36" max="37" width="12" bestFit="1" customWidth="1"/>
    <col min="38" max="38" width="1.85546875" bestFit="1" customWidth="1"/>
    <col min="39" max="39" width="10.5703125" bestFit="1" customWidth="1"/>
    <col min="40" max="40" width="1.85546875" bestFit="1" customWidth="1"/>
    <col min="41" max="41" width="9" bestFit="1" customWidth="1"/>
    <col min="42" max="42" width="1.85546875" bestFit="1" customWidth="1"/>
    <col min="43" max="43" width="10.140625" bestFit="1" customWidth="1"/>
    <col min="44" max="45" width="12" bestFit="1" customWidth="1"/>
    <col min="46" max="46" width="1.85546875" bestFit="1" customWidth="1"/>
    <col min="47" max="47" width="10.5703125" bestFit="1" customWidth="1"/>
    <col min="48" max="48" width="1.85546875" bestFit="1" customWidth="1"/>
    <col min="49" max="49" width="9" bestFit="1" customWidth="1"/>
    <col min="50" max="50" width="1.85546875" bestFit="1" customWidth="1"/>
    <col min="51" max="51" width="10.140625" bestFit="1" customWidth="1"/>
    <col min="52" max="53" width="12" bestFit="1" customWidth="1"/>
    <col min="54" max="54" width="1.85546875" bestFit="1" customWidth="1"/>
    <col min="55" max="55" width="10.5703125" bestFit="1" customWidth="1"/>
    <col min="56" max="56" width="1.85546875" bestFit="1" customWidth="1"/>
    <col min="57" max="57" width="9" bestFit="1" customWidth="1"/>
    <col min="58" max="58" width="1.85546875" bestFit="1" customWidth="1"/>
    <col min="59" max="59" width="10.140625" bestFit="1" customWidth="1"/>
    <col min="60" max="61" width="12" bestFit="1" customWidth="1"/>
    <col min="62" max="62" width="1.85546875" bestFit="1" customWidth="1"/>
    <col min="63" max="63" width="10.5703125" bestFit="1" customWidth="1"/>
    <col min="64" max="64" width="1.85546875" bestFit="1" customWidth="1"/>
    <col min="65" max="65" width="10" bestFit="1" customWidth="1"/>
    <col min="66" max="66" width="1.85546875" bestFit="1" customWidth="1"/>
    <col min="67" max="67" width="10.140625" bestFit="1" customWidth="1"/>
    <col min="68" max="69" width="12" bestFit="1" customWidth="1"/>
    <col min="70" max="70" width="1.85546875" bestFit="1" customWidth="1"/>
    <col min="71" max="71" width="10.5703125" bestFit="1" customWidth="1"/>
    <col min="72" max="72" width="1.85546875" bestFit="1" customWidth="1"/>
    <col min="73" max="73" width="9" bestFit="1" customWidth="1"/>
    <col min="74" max="74" width="1.85546875" bestFit="1" customWidth="1"/>
    <col min="75" max="75" width="10.140625" bestFit="1" customWidth="1"/>
    <col min="76" max="77" width="12" bestFit="1" customWidth="1"/>
    <col min="78" max="78" width="1.85546875" bestFit="1" customWidth="1"/>
    <col min="79" max="79" width="9.5703125" bestFit="1" customWidth="1"/>
    <col min="80" max="80" width="1.85546875" bestFit="1" customWidth="1"/>
    <col min="81" max="81" width="9" bestFit="1" customWidth="1"/>
    <col min="82" max="82" width="1.85546875" bestFit="1" customWidth="1"/>
    <col min="83" max="83" width="10.140625" bestFit="1" customWidth="1"/>
    <col min="84" max="85" width="12" bestFit="1" customWidth="1"/>
    <col min="86" max="86" width="1.85546875" bestFit="1" customWidth="1"/>
    <col min="87" max="87" width="10.5703125" bestFit="1" customWidth="1"/>
    <col min="88" max="88" width="1.85546875" bestFit="1" customWidth="1"/>
    <col min="89" max="89" width="8" bestFit="1" customWidth="1"/>
    <col min="90" max="90" width="1.85546875" bestFit="1" customWidth="1"/>
    <col min="91" max="91" width="11.140625" bestFit="1" customWidth="1"/>
    <col min="92" max="93" width="12" bestFit="1" customWidth="1"/>
    <col min="94" max="94" width="1.85546875" bestFit="1" customWidth="1"/>
    <col min="95" max="95" width="9.5703125" bestFit="1" customWidth="1"/>
    <col min="96" max="96" width="1.85546875" bestFit="1" customWidth="1"/>
    <col min="97" max="97" width="9" bestFit="1" customWidth="1"/>
    <col min="98" max="98" width="1.85546875" bestFit="1" customWidth="1"/>
    <col min="99" max="99" width="10.140625" bestFit="1" customWidth="1"/>
    <col min="100" max="101" width="12" bestFit="1" customWidth="1"/>
    <col min="102" max="102" width="1.85546875" bestFit="1" customWidth="1"/>
    <col min="103" max="103" width="9.5703125" bestFit="1" customWidth="1"/>
    <col min="104" max="104" width="1.85546875" bestFit="1" customWidth="1"/>
    <col min="105" max="105" width="9" bestFit="1" customWidth="1"/>
    <col min="106" max="106" width="1.85546875" bestFit="1" customWidth="1"/>
    <col min="107" max="107" width="10.140625" bestFit="1" customWidth="1"/>
    <col min="108" max="109" width="12" bestFit="1" customWidth="1"/>
    <col min="110" max="110" width="1.85546875" bestFit="1" customWidth="1"/>
    <col min="111" max="111" width="12.5703125" bestFit="1" customWidth="1"/>
    <col min="112" max="112" width="1.85546875" bestFit="1" customWidth="1"/>
    <col min="113" max="113" width="9" bestFit="1" customWidth="1"/>
    <col min="114" max="114" width="1.85546875" bestFit="1" customWidth="1"/>
    <col min="115" max="115" width="10.140625" bestFit="1" customWidth="1"/>
    <col min="116" max="117" width="12" bestFit="1" customWidth="1"/>
    <col min="118" max="118" width="1.85546875" bestFit="1" customWidth="1"/>
    <col min="119" max="119" width="11" bestFit="1" customWidth="1"/>
    <col min="120" max="120" width="1.85546875" bestFit="1" customWidth="1"/>
    <col min="121" max="121" width="9" bestFit="1" customWidth="1"/>
    <col min="122" max="122" width="1.85546875" bestFit="1" customWidth="1"/>
    <col min="123" max="123" width="10.140625" bestFit="1" customWidth="1"/>
    <col min="124" max="125" width="12" bestFit="1" customWidth="1"/>
    <col min="126" max="126" width="1.85546875" bestFit="1" customWidth="1"/>
    <col min="127" max="127" width="10" bestFit="1" customWidth="1"/>
    <col min="128" max="128" width="1.85546875" bestFit="1" customWidth="1"/>
    <col min="129" max="129" width="7" bestFit="1" customWidth="1"/>
    <col min="130" max="130" width="1.85546875" bestFit="1" customWidth="1"/>
    <col min="131" max="131" width="9.140625" bestFit="1" customWidth="1"/>
    <col min="132" max="133" width="12" bestFit="1" customWidth="1"/>
    <col min="134" max="134" width="1.85546875" bestFit="1" customWidth="1"/>
    <col min="135" max="135" width="10" bestFit="1" customWidth="1"/>
    <col min="136" max="136" width="1.85546875" bestFit="1" customWidth="1"/>
    <col min="137" max="137" width="9" bestFit="1" customWidth="1"/>
    <col min="138" max="138" width="1.85546875" bestFit="1" customWidth="1"/>
    <col min="139" max="139" width="10.140625" bestFit="1" customWidth="1"/>
    <col min="140" max="141" width="12" bestFit="1" customWidth="1"/>
    <col min="142" max="142" width="1.85546875" bestFit="1" customWidth="1"/>
    <col min="143" max="143" width="10" bestFit="1" customWidth="1"/>
    <col min="144" max="144" width="1.85546875" bestFit="1" customWidth="1"/>
    <col min="145" max="145" width="10" bestFit="1" customWidth="1"/>
    <col min="146" max="146" width="1.85546875" bestFit="1" customWidth="1"/>
    <col min="147" max="147" width="10.140625" bestFit="1" customWidth="1"/>
    <col min="148" max="149" width="12" bestFit="1" customWidth="1"/>
    <col min="150" max="150" width="1.85546875" bestFit="1" customWidth="1"/>
    <col min="151" max="151" width="9" bestFit="1" customWidth="1"/>
    <col min="152" max="152" width="1.85546875" bestFit="1" customWidth="1"/>
    <col min="153" max="153" width="9" bestFit="1" customWidth="1"/>
    <col min="154" max="154" width="1.85546875" bestFit="1" customWidth="1"/>
    <col min="155" max="155" width="10.140625" bestFit="1" customWidth="1"/>
    <col min="156" max="157" width="12" bestFit="1" customWidth="1"/>
    <col min="158" max="158" width="1.85546875" bestFit="1" customWidth="1"/>
    <col min="159" max="159" width="10" bestFit="1" customWidth="1"/>
    <col min="160" max="160" width="1.85546875" bestFit="1" customWidth="1"/>
    <col min="161" max="161" width="10" bestFit="1" customWidth="1"/>
    <col min="162" max="162" width="1.85546875" bestFit="1" customWidth="1"/>
    <col min="163" max="163" width="10.140625" bestFit="1" customWidth="1"/>
    <col min="164" max="165" width="12" bestFit="1" customWidth="1"/>
    <col min="166" max="166" width="1.85546875" bestFit="1" customWidth="1"/>
    <col min="167" max="167" width="10" bestFit="1" customWidth="1"/>
    <col min="168" max="168" width="1.85546875" bestFit="1" customWidth="1"/>
    <col min="169" max="169" width="10" bestFit="1" customWidth="1"/>
    <col min="170" max="170" width="1.85546875" bestFit="1" customWidth="1"/>
    <col min="171" max="171" width="9.140625" bestFit="1" customWidth="1"/>
    <col min="172" max="173" width="12" bestFit="1" customWidth="1"/>
    <col min="174" max="174" width="1.85546875" bestFit="1" customWidth="1"/>
    <col min="175" max="175" width="10" bestFit="1" customWidth="1"/>
    <col min="176" max="176" width="1.85546875" bestFit="1" customWidth="1"/>
    <col min="177" max="177" width="10" bestFit="1" customWidth="1"/>
    <col min="178" max="178" width="1.85546875" bestFit="1" customWidth="1"/>
    <col min="179" max="179" width="9.140625" bestFit="1" customWidth="1"/>
    <col min="180" max="181" width="12" bestFit="1" customWidth="1"/>
    <col min="182" max="182" width="1.85546875" bestFit="1" customWidth="1"/>
    <col min="183" max="183" width="9" bestFit="1" customWidth="1"/>
    <col min="184" max="184" width="1.85546875" bestFit="1" customWidth="1"/>
    <col min="185" max="185" width="10" bestFit="1" customWidth="1"/>
    <col min="186" max="186" width="1.85546875" bestFit="1" customWidth="1"/>
    <col min="187" max="187" width="9.140625" bestFit="1" customWidth="1"/>
    <col min="188" max="189" width="12" bestFit="1" customWidth="1"/>
    <col min="190" max="190" width="1.85546875" bestFit="1" customWidth="1"/>
    <col min="191" max="191" width="10" bestFit="1" customWidth="1"/>
    <col min="192" max="192" width="1.85546875" bestFit="1" customWidth="1"/>
    <col min="193" max="193" width="9" bestFit="1" customWidth="1"/>
    <col min="194" max="194" width="1.85546875" bestFit="1" customWidth="1"/>
    <col min="195" max="195" width="9.140625" bestFit="1" customWidth="1"/>
    <col min="196" max="197" width="12" bestFit="1" customWidth="1"/>
    <col min="198" max="198" width="1.85546875" bestFit="1" customWidth="1"/>
    <col min="199" max="199" width="9" bestFit="1" customWidth="1"/>
    <col min="200" max="200" width="1.85546875" bestFit="1" customWidth="1"/>
    <col min="201" max="201" width="9" bestFit="1" customWidth="1"/>
    <col min="202" max="202" width="1.85546875" bestFit="1" customWidth="1"/>
    <col min="203" max="203" width="10.140625" bestFit="1" customWidth="1"/>
    <col min="204" max="205" width="12" bestFit="1" customWidth="1"/>
    <col min="206" max="206" width="1.85546875" bestFit="1" customWidth="1"/>
    <col min="207" max="207" width="10" bestFit="1" customWidth="1"/>
    <col min="208" max="208" width="1.85546875" bestFit="1" customWidth="1"/>
    <col min="209" max="209" width="10" bestFit="1" customWidth="1"/>
    <col min="210" max="210" width="1.85546875" bestFit="1" customWidth="1"/>
    <col min="211" max="211" width="9.140625" bestFit="1" customWidth="1"/>
    <col min="212" max="213" width="12" bestFit="1" customWidth="1"/>
    <col min="214" max="214" width="1.85546875" bestFit="1" customWidth="1"/>
    <col min="215" max="215" width="10.5703125" bestFit="1" customWidth="1"/>
    <col min="216" max="216" width="1.85546875" bestFit="1" customWidth="1"/>
    <col min="217" max="217" width="9" bestFit="1" customWidth="1"/>
    <col min="218" max="218" width="1.85546875" bestFit="1" customWidth="1"/>
    <col min="219" max="219" width="10.140625" bestFit="1" customWidth="1"/>
    <col min="220" max="221" width="12" bestFit="1" customWidth="1"/>
    <col min="222" max="222" width="1.85546875" bestFit="1" customWidth="1"/>
    <col min="223" max="223" width="10.5703125" bestFit="1" customWidth="1"/>
    <col min="224" max="224" width="1.85546875" bestFit="1" customWidth="1"/>
    <col min="225" max="225" width="9" bestFit="1" customWidth="1"/>
    <col min="226" max="226" width="1.85546875" bestFit="1" customWidth="1"/>
    <col min="227" max="227" width="10.140625" bestFit="1" customWidth="1"/>
    <col min="228" max="229" width="12" bestFit="1" customWidth="1"/>
    <col min="230" max="230" width="1.85546875" bestFit="1" customWidth="1"/>
    <col min="231" max="231" width="9.5703125" bestFit="1" customWidth="1"/>
    <col min="232" max="232" width="1.85546875" bestFit="1" customWidth="1"/>
    <col min="233" max="233" width="10" bestFit="1" customWidth="1"/>
    <col min="234" max="234" width="1.85546875" bestFit="1" customWidth="1"/>
    <col min="235" max="235" width="11.140625" bestFit="1" customWidth="1"/>
    <col min="236" max="237" width="12" bestFit="1" customWidth="1"/>
    <col min="238" max="238" width="1.85546875" bestFit="1" customWidth="1"/>
    <col min="239" max="239" width="10.5703125" bestFit="1" customWidth="1"/>
    <col min="240" max="240" width="1.85546875" bestFit="1" customWidth="1"/>
    <col min="241" max="241" width="9" bestFit="1" customWidth="1"/>
    <col min="242" max="242" width="1.85546875" bestFit="1" customWidth="1"/>
    <col min="243" max="243" width="10.7109375" bestFit="1" customWidth="1"/>
    <col min="244" max="245" width="12" bestFit="1" customWidth="1"/>
    <col min="246" max="246" width="1.85546875" bestFit="1" customWidth="1"/>
    <col min="247" max="247" width="10.5703125" bestFit="1" customWidth="1"/>
    <col min="248" max="248" width="1.85546875" bestFit="1" customWidth="1"/>
    <col min="249" max="249" width="9" bestFit="1" customWidth="1"/>
    <col min="250" max="250" width="1.85546875" bestFit="1" customWidth="1"/>
    <col min="251" max="251" width="10.7109375" bestFit="1" customWidth="1"/>
    <col min="252" max="253" width="12" bestFit="1" customWidth="1"/>
    <col min="254" max="254" width="1.85546875" bestFit="1" customWidth="1"/>
    <col min="255" max="255" width="10.5703125" bestFit="1" customWidth="1"/>
    <col min="256" max="256" width="1.85546875" bestFit="1" customWidth="1"/>
    <col min="257" max="257" width="9" bestFit="1" customWidth="1"/>
    <col min="258" max="258" width="1.85546875" bestFit="1" customWidth="1"/>
    <col min="259" max="259" width="9.7109375" bestFit="1" customWidth="1"/>
    <col min="260" max="261" width="12" bestFit="1" customWidth="1"/>
    <col min="262" max="262" width="1.85546875" bestFit="1" customWidth="1"/>
    <col min="263" max="263" width="10.5703125" bestFit="1" customWidth="1"/>
    <col min="264" max="264" width="1.85546875" bestFit="1" customWidth="1"/>
    <col min="265" max="265" width="9" bestFit="1" customWidth="1"/>
    <col min="266" max="266" width="1.85546875" bestFit="1" customWidth="1"/>
    <col min="267" max="267" width="10.7109375" bestFit="1" customWidth="1"/>
    <col min="268" max="269" width="12" bestFit="1" customWidth="1"/>
    <col min="270" max="270" width="1.85546875" bestFit="1" customWidth="1"/>
    <col min="271" max="271" width="10.5703125" bestFit="1" customWidth="1"/>
    <col min="272" max="272" width="1.85546875" bestFit="1" customWidth="1"/>
    <col min="273" max="273" width="9" bestFit="1" customWidth="1"/>
    <col min="274" max="274" width="1.85546875" bestFit="1" customWidth="1"/>
    <col min="275" max="275" width="10.7109375" bestFit="1" customWidth="1"/>
    <col min="276" max="277" width="12" bestFit="1" customWidth="1"/>
    <col min="278" max="278" width="1.85546875" bestFit="1" customWidth="1"/>
    <col min="279" max="279" width="9.5703125" bestFit="1" customWidth="1"/>
    <col min="280" max="280" width="1.85546875" bestFit="1" customWidth="1"/>
    <col min="281" max="281" width="9" bestFit="1" customWidth="1"/>
    <col min="282" max="282" width="1.85546875" bestFit="1" customWidth="1"/>
    <col min="283" max="283" width="10.7109375" bestFit="1" customWidth="1"/>
    <col min="284" max="285" width="12" bestFit="1" customWidth="1"/>
    <col min="286" max="286" width="1.85546875" bestFit="1" customWidth="1"/>
    <col min="287" max="287" width="9.5703125" bestFit="1" customWidth="1"/>
    <col min="288" max="288" width="1.85546875" bestFit="1" customWidth="1"/>
    <col min="289" max="289" width="9" bestFit="1" customWidth="1"/>
    <col min="290" max="290" width="1.85546875" bestFit="1" customWidth="1"/>
    <col min="291" max="291" width="11.7109375" bestFit="1" customWidth="1"/>
    <col min="292" max="293" width="12" bestFit="1" customWidth="1"/>
    <col min="294" max="294" width="1.85546875" bestFit="1" customWidth="1"/>
    <col min="295" max="295" width="10.5703125" bestFit="1" customWidth="1"/>
    <col min="296" max="296" width="1.85546875" bestFit="1" customWidth="1"/>
    <col min="297" max="297" width="9" bestFit="1" customWidth="1"/>
    <col min="298" max="298" width="1.85546875" bestFit="1" customWidth="1"/>
    <col min="299" max="299" width="10.140625" bestFit="1" customWidth="1"/>
    <col min="300" max="301" width="12" bestFit="1" customWidth="1"/>
    <col min="302" max="302" width="1.85546875" bestFit="1" customWidth="1"/>
    <col min="303" max="303" width="10.5703125" bestFit="1" customWidth="1"/>
    <col min="304" max="304" width="1.85546875" bestFit="1" customWidth="1"/>
    <col min="305" max="305" width="8" bestFit="1" customWidth="1"/>
    <col min="306" max="306" width="1.85546875" bestFit="1" customWidth="1"/>
    <col min="307" max="307" width="10.140625" bestFit="1" customWidth="1"/>
    <col min="308" max="309" width="12" bestFit="1" customWidth="1"/>
    <col min="310" max="310" width="1.85546875" bestFit="1" customWidth="1"/>
    <col min="311" max="311" width="9.5703125" bestFit="1" customWidth="1"/>
    <col min="312" max="312" width="1.85546875" bestFit="1" customWidth="1"/>
    <col min="313" max="313" width="9" bestFit="1" customWidth="1"/>
    <col min="314" max="314" width="1.85546875" bestFit="1" customWidth="1"/>
    <col min="315" max="315" width="10.140625" bestFit="1" customWidth="1"/>
    <col min="316" max="317" width="12" bestFit="1" customWidth="1"/>
    <col min="318" max="318" width="1.85546875" bestFit="1" customWidth="1"/>
    <col min="319" max="319" width="10.5703125" bestFit="1" customWidth="1"/>
    <col min="320" max="320" width="1.85546875" bestFit="1" customWidth="1"/>
    <col min="321" max="321" width="8" bestFit="1" customWidth="1"/>
    <col min="322" max="322" width="1.85546875" bestFit="1" customWidth="1"/>
    <col min="323" max="323" width="11.140625" bestFit="1" customWidth="1"/>
    <col min="324" max="325" width="12" bestFit="1" customWidth="1"/>
    <col min="326" max="326" width="1.85546875" bestFit="1" customWidth="1"/>
    <col min="327" max="327" width="10.5703125" bestFit="1" customWidth="1"/>
    <col min="328" max="328" width="1.85546875" bestFit="1" customWidth="1"/>
    <col min="329" max="329" width="9" bestFit="1" customWidth="1"/>
    <col min="330" max="330" width="1.85546875" bestFit="1" customWidth="1"/>
    <col min="331" max="331" width="10.140625" bestFit="1" customWidth="1"/>
    <col min="332" max="333" width="12" bestFit="1" customWidth="1"/>
    <col min="334" max="334" width="1.85546875" bestFit="1" customWidth="1"/>
    <col min="335" max="335" width="10.5703125" bestFit="1" customWidth="1"/>
    <col min="336" max="336" width="1.85546875" bestFit="1" customWidth="1"/>
    <col min="337" max="337" width="9" bestFit="1" customWidth="1"/>
    <col min="338" max="338" width="1.85546875" bestFit="1" customWidth="1"/>
    <col min="339" max="339" width="10.28515625" bestFit="1" customWidth="1"/>
    <col min="340" max="341" width="12" bestFit="1" customWidth="1"/>
    <col min="342" max="342" width="1.85546875" bestFit="1" customWidth="1"/>
    <col min="343" max="343" width="9.5703125" bestFit="1" customWidth="1"/>
    <col min="344" max="344" width="1.85546875" bestFit="1" customWidth="1"/>
    <col min="345" max="345" width="9" bestFit="1" customWidth="1"/>
    <col min="346" max="346" width="1.85546875" bestFit="1" customWidth="1"/>
    <col min="347" max="347" width="11.7109375" bestFit="1" customWidth="1"/>
    <col min="348" max="349" width="12" bestFit="1" customWidth="1"/>
    <col min="350" max="350" width="1.85546875" bestFit="1" customWidth="1"/>
    <col min="351" max="351" width="10.5703125" bestFit="1" customWidth="1"/>
    <col min="352" max="352" width="1.85546875" bestFit="1" customWidth="1"/>
    <col min="353" max="353" width="9" bestFit="1" customWidth="1"/>
    <col min="354" max="354" width="1.85546875" bestFit="1" customWidth="1"/>
    <col min="356" max="357" width="12" bestFit="1" customWidth="1"/>
    <col min="358" max="358" width="1.85546875" bestFit="1" customWidth="1"/>
    <col min="359" max="359" width="10.5703125" bestFit="1" customWidth="1"/>
    <col min="360" max="360" width="1.85546875" bestFit="1" customWidth="1"/>
    <col min="361" max="361" width="9" bestFit="1" customWidth="1"/>
    <col min="362" max="362" width="1.85546875" bestFit="1" customWidth="1"/>
    <col min="364" max="365" width="12" bestFit="1" customWidth="1"/>
    <col min="366" max="366" width="1.85546875" bestFit="1" customWidth="1"/>
    <col min="367" max="367" width="10.5703125" bestFit="1" customWidth="1"/>
    <col min="368" max="368" width="1.85546875" bestFit="1" customWidth="1"/>
    <col min="369" max="369" width="10" bestFit="1" customWidth="1"/>
    <col min="370" max="370" width="1.85546875" bestFit="1" customWidth="1"/>
    <col min="371" max="371" width="9.7109375" bestFit="1" customWidth="1"/>
    <col min="372" max="373" width="12" bestFit="1" customWidth="1"/>
    <col min="374" max="374" width="1.85546875" bestFit="1" customWidth="1"/>
    <col min="375" max="375" width="10.5703125" bestFit="1" customWidth="1"/>
    <col min="376" max="376" width="1.85546875" bestFit="1" customWidth="1"/>
    <col min="377" max="377" width="10" bestFit="1" customWidth="1"/>
    <col min="378" max="378" width="1.85546875" bestFit="1" customWidth="1"/>
    <col min="380" max="381" width="12" bestFit="1" customWidth="1"/>
    <col min="382" max="382" width="1.85546875" bestFit="1" customWidth="1"/>
    <col min="383" max="383" width="10.5703125" bestFit="1" customWidth="1"/>
    <col min="384" max="384" width="1.85546875" bestFit="1" customWidth="1"/>
    <col min="385" max="385" width="9" bestFit="1" customWidth="1"/>
    <col min="386" max="386" width="1.85546875" bestFit="1" customWidth="1"/>
    <col min="387" max="387" width="11.140625" bestFit="1" customWidth="1"/>
    <col min="388" max="389" width="12" bestFit="1" customWidth="1"/>
    <col min="390" max="390" width="1.85546875" bestFit="1" customWidth="1"/>
    <col min="391" max="391" width="10.5703125" bestFit="1" customWidth="1"/>
    <col min="392" max="392" width="1.85546875" bestFit="1" customWidth="1"/>
    <col min="393" max="393" width="9" bestFit="1" customWidth="1"/>
    <col min="394" max="394" width="1.85546875" bestFit="1" customWidth="1"/>
    <col min="396" max="397" width="12" bestFit="1" customWidth="1"/>
    <col min="398" max="398" width="1.85546875" bestFit="1" customWidth="1"/>
    <col min="399" max="399" width="9.5703125" bestFit="1" customWidth="1"/>
    <col min="400" max="400" width="1.85546875" bestFit="1" customWidth="1"/>
    <col min="401" max="401" width="10" bestFit="1" customWidth="1"/>
    <col min="402" max="402" width="1.85546875" bestFit="1" customWidth="1"/>
    <col min="404" max="405" width="12" bestFit="1" customWidth="1"/>
    <col min="406" max="406" width="1.85546875" bestFit="1" customWidth="1"/>
    <col min="407" max="407" width="9.5703125" bestFit="1" customWidth="1"/>
    <col min="408" max="408" width="1.85546875" bestFit="1" customWidth="1"/>
    <col min="409" max="409" width="10" bestFit="1" customWidth="1"/>
    <col min="410" max="410" width="1.85546875" bestFit="1" customWidth="1"/>
    <col min="412" max="413" width="12" bestFit="1" customWidth="1"/>
    <col min="414" max="414" width="1.85546875" bestFit="1" customWidth="1"/>
    <col min="415" max="415" width="10.5703125" bestFit="1" customWidth="1"/>
    <col min="416" max="416" width="1.85546875" bestFit="1" customWidth="1"/>
    <col min="417" max="417" width="10" bestFit="1" customWidth="1"/>
    <col min="418" max="418" width="1.85546875" bestFit="1" customWidth="1"/>
    <col min="419" max="419" width="10.140625" bestFit="1" customWidth="1"/>
    <col min="420" max="421" width="12" bestFit="1" customWidth="1"/>
    <col min="422" max="422" width="1.85546875" bestFit="1" customWidth="1"/>
    <col min="423" max="423" width="10.5703125" bestFit="1" customWidth="1"/>
    <col min="424" max="424" width="1.85546875" bestFit="1" customWidth="1"/>
    <col min="425" max="425" width="9" bestFit="1" customWidth="1"/>
    <col min="426" max="426" width="1.85546875" bestFit="1" customWidth="1"/>
    <col min="427" max="427" width="11.140625" bestFit="1" customWidth="1"/>
    <col min="428" max="429" width="12" bestFit="1" customWidth="1"/>
    <col min="430" max="430" width="1.85546875" bestFit="1" customWidth="1"/>
    <col min="431" max="431" width="9.5703125" bestFit="1" customWidth="1"/>
    <col min="432" max="432" width="1.85546875" bestFit="1" customWidth="1"/>
    <col min="433" max="433" width="9" bestFit="1" customWidth="1"/>
    <col min="434" max="434" width="1.85546875" bestFit="1" customWidth="1"/>
    <col min="435" max="435" width="10.140625" bestFit="1" customWidth="1"/>
    <col min="436" max="437" width="12" bestFit="1" customWidth="1"/>
    <col min="438" max="438" width="1.85546875" bestFit="1" customWidth="1"/>
    <col min="439" max="439" width="8.5703125" bestFit="1" customWidth="1"/>
    <col min="440" max="440" width="1.85546875" bestFit="1" customWidth="1"/>
    <col min="441" max="441" width="10" bestFit="1" customWidth="1"/>
    <col min="442" max="442" width="1.85546875" bestFit="1" customWidth="1"/>
    <col min="443" max="443" width="10.140625" bestFit="1" customWidth="1"/>
    <col min="444" max="445" width="12" bestFit="1" customWidth="1"/>
    <col min="446" max="446" width="1.85546875" bestFit="1" customWidth="1"/>
    <col min="447" max="447" width="10.5703125" bestFit="1" customWidth="1"/>
    <col min="448" max="448" width="1.85546875" bestFit="1" customWidth="1"/>
    <col min="449" max="449" width="10" bestFit="1" customWidth="1"/>
    <col min="450" max="450" width="1.85546875" bestFit="1" customWidth="1"/>
    <col min="451" max="451" width="11.140625" bestFit="1" customWidth="1"/>
    <col min="452" max="453" width="12" bestFit="1" customWidth="1"/>
    <col min="454" max="454" width="1.85546875" bestFit="1" customWidth="1"/>
    <col min="455" max="455" width="10.5703125" bestFit="1" customWidth="1"/>
    <col min="456" max="456" width="1.85546875" bestFit="1" customWidth="1"/>
    <col min="457" max="457" width="10" bestFit="1" customWidth="1"/>
    <col min="458" max="458" width="1.85546875" bestFit="1" customWidth="1"/>
    <col min="459" max="459" width="9.140625" bestFit="1" customWidth="1"/>
    <col min="460" max="461" width="12" bestFit="1" customWidth="1"/>
    <col min="462" max="462" width="1.85546875" bestFit="1" customWidth="1"/>
    <col min="463" max="463" width="9.5703125" bestFit="1" customWidth="1"/>
    <col min="464" max="464" width="1.85546875" bestFit="1" customWidth="1"/>
    <col min="465" max="465" width="10" bestFit="1" customWidth="1"/>
    <col min="466" max="466" width="1.85546875" bestFit="1" customWidth="1"/>
    <col min="467" max="467" width="10.140625" bestFit="1" customWidth="1"/>
    <col min="468" max="469" width="12" bestFit="1" customWidth="1"/>
    <col min="470" max="470" width="1.85546875" bestFit="1" customWidth="1"/>
    <col min="471" max="471" width="9.5703125" bestFit="1" customWidth="1"/>
    <col min="472" max="472" width="1.85546875" bestFit="1" customWidth="1"/>
    <col min="473" max="473" width="10" bestFit="1" customWidth="1"/>
    <col min="474" max="474" width="1.85546875" bestFit="1" customWidth="1"/>
    <col min="475" max="475" width="10.140625" bestFit="1" customWidth="1"/>
    <col min="476" max="477" width="12" bestFit="1" customWidth="1"/>
    <col min="478" max="478" width="1.85546875" bestFit="1" customWidth="1"/>
    <col min="479" max="479" width="10.5703125" bestFit="1" customWidth="1"/>
    <col min="480" max="480" width="1.85546875" bestFit="1" customWidth="1"/>
    <col min="481" max="481" width="9" bestFit="1" customWidth="1"/>
    <col min="482" max="482" width="1.85546875" bestFit="1" customWidth="1"/>
    <col min="483" max="483" width="10.140625" bestFit="1" customWidth="1"/>
    <col min="484" max="485" width="12" bestFit="1" customWidth="1"/>
    <col min="486" max="486" width="1.85546875" bestFit="1" customWidth="1"/>
    <col min="487" max="487" width="8.5703125" bestFit="1" customWidth="1"/>
    <col min="488" max="488" width="1.85546875" bestFit="1" customWidth="1"/>
    <col min="489" max="489" width="10" bestFit="1" customWidth="1"/>
    <col min="490" max="490" width="1.85546875" bestFit="1" customWidth="1"/>
    <col min="491" max="491" width="9.140625" bestFit="1" customWidth="1"/>
    <col min="492" max="493" width="12" bestFit="1" customWidth="1"/>
    <col min="494" max="494" width="1.85546875" bestFit="1" customWidth="1"/>
    <col min="495" max="495" width="9.5703125" bestFit="1" customWidth="1"/>
    <col min="496" max="496" width="1.85546875" bestFit="1" customWidth="1"/>
    <col min="497" max="497" width="9" bestFit="1" customWidth="1"/>
    <col min="498" max="498" width="1.85546875" bestFit="1" customWidth="1"/>
    <col min="499" max="499" width="10.140625" bestFit="1" customWidth="1"/>
    <col min="500" max="501" width="12" bestFit="1" customWidth="1"/>
    <col min="502" max="502" width="1.85546875" bestFit="1" customWidth="1"/>
    <col min="503" max="503" width="10.5703125" bestFit="1" customWidth="1"/>
    <col min="504" max="504" width="1.85546875" bestFit="1" customWidth="1"/>
    <col min="505" max="505" width="10" bestFit="1" customWidth="1"/>
    <col min="506" max="506" width="1.85546875" bestFit="1" customWidth="1"/>
    <col min="507" max="507" width="10.140625" bestFit="1" customWidth="1"/>
    <col min="508" max="509" width="12" bestFit="1" customWidth="1"/>
    <col min="510" max="510" width="1.85546875" bestFit="1" customWidth="1"/>
    <col min="511" max="511" width="9.5703125" bestFit="1" customWidth="1"/>
    <col min="512" max="512" width="1.85546875" bestFit="1" customWidth="1"/>
    <col min="513" max="513" width="9" bestFit="1" customWidth="1"/>
    <col min="514" max="514" width="1.85546875" bestFit="1" customWidth="1"/>
    <col min="515" max="515" width="10.140625" bestFit="1" customWidth="1"/>
    <col min="516" max="517" width="12" bestFit="1" customWidth="1"/>
    <col min="518" max="518" width="1.85546875" bestFit="1" customWidth="1"/>
    <col min="519" max="519" width="9.5703125" bestFit="1" customWidth="1"/>
    <col min="520" max="520" width="1.85546875" bestFit="1" customWidth="1"/>
    <col min="521" max="521" width="9" bestFit="1" customWidth="1"/>
    <col min="522" max="522" width="1.85546875" bestFit="1" customWidth="1"/>
    <col min="523" max="523" width="10.140625" bestFit="1" customWidth="1"/>
    <col min="524" max="525" width="12" bestFit="1" customWidth="1"/>
    <col min="526" max="526" width="1.85546875" bestFit="1" customWidth="1"/>
    <col min="527" max="527" width="9.5703125" bestFit="1" customWidth="1"/>
    <col min="528" max="528" width="1.85546875" bestFit="1" customWidth="1"/>
    <col min="529" max="529" width="9" bestFit="1" customWidth="1"/>
    <col min="530" max="530" width="1.85546875" bestFit="1" customWidth="1"/>
    <col min="531" max="531" width="11.140625" bestFit="1" customWidth="1"/>
    <col min="532" max="533" width="12" bestFit="1" customWidth="1"/>
    <col min="534" max="534" width="1.85546875" bestFit="1" customWidth="1"/>
    <col min="535" max="535" width="10.5703125" bestFit="1" customWidth="1"/>
    <col min="536" max="536" width="1.85546875" bestFit="1" customWidth="1"/>
    <col min="537" max="537" width="9" bestFit="1" customWidth="1"/>
    <col min="538" max="538" width="1.85546875" bestFit="1" customWidth="1"/>
    <col min="539" max="539" width="10.140625" bestFit="1" customWidth="1"/>
    <col min="540" max="541" width="12" bestFit="1" customWidth="1"/>
    <col min="542" max="542" width="1.85546875" bestFit="1" customWidth="1"/>
    <col min="543" max="543" width="10.5703125" bestFit="1" customWidth="1"/>
    <col min="544" max="544" width="1.85546875" bestFit="1" customWidth="1"/>
    <col min="545" max="545" width="10" bestFit="1" customWidth="1"/>
    <col min="546" max="546" width="1.85546875" bestFit="1" customWidth="1"/>
    <col min="547" max="547" width="10.140625" bestFit="1" customWidth="1"/>
    <col min="548" max="549" width="12" bestFit="1" customWidth="1"/>
    <col min="550" max="550" width="1.85546875" bestFit="1" customWidth="1"/>
    <col min="551" max="551" width="10.5703125" bestFit="1" customWidth="1"/>
    <col min="552" max="552" width="1.85546875" bestFit="1" customWidth="1"/>
    <col min="553" max="553" width="9" bestFit="1" customWidth="1"/>
    <col min="554" max="554" width="1.85546875" bestFit="1" customWidth="1"/>
    <col min="555" max="555" width="10.140625" bestFit="1" customWidth="1"/>
    <col min="556" max="557" width="12" bestFit="1" customWidth="1"/>
    <col min="558" max="558" width="1.85546875" bestFit="1" customWidth="1"/>
    <col min="559" max="559" width="9.5703125" bestFit="1" customWidth="1"/>
    <col min="560" max="560" width="1.85546875" bestFit="1" customWidth="1"/>
    <col min="561" max="561" width="9" bestFit="1" customWidth="1"/>
    <col min="562" max="562" width="1.85546875" bestFit="1" customWidth="1"/>
    <col min="563" max="563" width="10.140625" bestFit="1" customWidth="1"/>
    <col min="564" max="565" width="12" bestFit="1" customWidth="1"/>
    <col min="566" max="566" width="1.85546875" bestFit="1" customWidth="1"/>
    <col min="567" max="567" width="10.5703125" bestFit="1" customWidth="1"/>
    <col min="568" max="568" width="1.85546875" bestFit="1" customWidth="1"/>
    <col min="569" max="569" width="10" bestFit="1" customWidth="1"/>
    <col min="570" max="570" width="1.85546875" bestFit="1" customWidth="1"/>
    <col min="571" max="571" width="10.140625" bestFit="1" customWidth="1"/>
    <col min="572" max="573" width="12" bestFit="1" customWidth="1"/>
    <col min="574" max="574" width="1.85546875" bestFit="1" customWidth="1"/>
    <col min="575" max="575" width="10.5703125" bestFit="1" customWidth="1"/>
    <col min="576" max="576" width="1.85546875" bestFit="1" customWidth="1"/>
    <col min="577" max="577" width="9" bestFit="1" customWidth="1"/>
    <col min="578" max="578" width="1.85546875" bestFit="1" customWidth="1"/>
    <col min="579" max="579" width="11.140625" bestFit="1" customWidth="1"/>
    <col min="580" max="581" width="12" bestFit="1" customWidth="1"/>
    <col min="582" max="582" width="1.85546875" bestFit="1" customWidth="1"/>
    <col min="583" max="583" width="8.5703125" bestFit="1" customWidth="1"/>
    <col min="584" max="584" width="1.85546875" bestFit="1" customWidth="1"/>
    <col min="585" max="585" width="9" bestFit="1" customWidth="1"/>
    <col min="586" max="586" width="1.85546875" bestFit="1" customWidth="1"/>
    <col min="587" max="587" width="10.140625" bestFit="1" customWidth="1"/>
    <col min="588" max="589" width="12" bestFit="1" customWidth="1"/>
    <col min="590" max="590" width="1.85546875" bestFit="1" customWidth="1"/>
    <col min="591" max="591" width="10.5703125" bestFit="1" customWidth="1"/>
    <col min="592" max="592" width="1.85546875" bestFit="1" customWidth="1"/>
    <col min="593" max="593" width="8" bestFit="1" customWidth="1"/>
    <col min="594" max="594" width="1.85546875" bestFit="1" customWidth="1"/>
    <col min="595" max="595" width="10.140625" bestFit="1" customWidth="1"/>
    <col min="596" max="597" width="12" bestFit="1" customWidth="1"/>
    <col min="598" max="598" width="1.85546875" bestFit="1" customWidth="1"/>
    <col min="599" max="599" width="8.5703125" bestFit="1" customWidth="1"/>
    <col min="600" max="600" width="1.85546875" bestFit="1" customWidth="1"/>
    <col min="601" max="601" width="9" bestFit="1" customWidth="1"/>
    <col min="602" max="602" width="1.85546875" bestFit="1" customWidth="1"/>
    <col min="603" max="603" width="10.140625" bestFit="1" customWidth="1"/>
    <col min="604" max="605" width="12" bestFit="1" customWidth="1"/>
    <col min="606" max="606" width="1.85546875" bestFit="1" customWidth="1"/>
    <col min="607" max="607" width="10.5703125" bestFit="1" customWidth="1"/>
    <col min="608" max="608" width="1.85546875" bestFit="1" customWidth="1"/>
    <col min="609" max="609" width="10" bestFit="1" customWidth="1"/>
    <col min="610" max="610" width="1.85546875" bestFit="1" customWidth="1"/>
    <col min="611" max="611" width="10.140625" bestFit="1" customWidth="1"/>
    <col min="612" max="613" width="12" bestFit="1" customWidth="1"/>
    <col min="614" max="614" width="1.85546875" bestFit="1" customWidth="1"/>
    <col min="615" max="615" width="9.5703125" bestFit="1" customWidth="1"/>
    <col min="616" max="616" width="1.85546875" bestFit="1" customWidth="1"/>
    <col min="617" max="617" width="10" bestFit="1" customWidth="1"/>
    <col min="618" max="618" width="1.85546875" bestFit="1" customWidth="1"/>
    <col min="619" max="619" width="10.140625" bestFit="1" customWidth="1"/>
    <col min="620" max="621" width="12" bestFit="1" customWidth="1"/>
    <col min="622" max="622" width="1.85546875" bestFit="1" customWidth="1"/>
    <col min="623" max="623" width="9.5703125" bestFit="1" customWidth="1"/>
    <col min="624" max="624" width="1.85546875" bestFit="1" customWidth="1"/>
    <col min="625" max="625" width="10" bestFit="1" customWidth="1"/>
    <col min="626" max="626" width="1.85546875" bestFit="1" customWidth="1"/>
    <col min="627" max="627" width="10.140625" bestFit="1" customWidth="1"/>
    <col min="628" max="629" width="12" bestFit="1" customWidth="1"/>
    <col min="630" max="630" width="1.85546875" bestFit="1" customWidth="1"/>
    <col min="631" max="631" width="10.5703125" bestFit="1" customWidth="1"/>
    <col min="632" max="632" width="1.85546875" bestFit="1" customWidth="1"/>
    <col min="633" max="633" width="10" bestFit="1" customWidth="1"/>
    <col min="634" max="634" width="1.85546875" bestFit="1" customWidth="1"/>
    <col min="635" max="635" width="9.140625" bestFit="1" customWidth="1"/>
    <col min="636" max="637" width="12" bestFit="1" customWidth="1"/>
    <col min="638" max="638" width="1.85546875" bestFit="1" customWidth="1"/>
    <col min="639" max="639" width="8.5703125" bestFit="1" customWidth="1"/>
    <col min="640" max="640" width="1.85546875" bestFit="1" customWidth="1"/>
    <col min="641" max="641" width="9" bestFit="1" customWidth="1"/>
    <col min="642" max="642" width="1.85546875" bestFit="1" customWidth="1"/>
    <col min="643" max="643" width="9.140625" bestFit="1" customWidth="1"/>
    <col min="644" max="645" width="12" bestFit="1" customWidth="1"/>
    <col min="646" max="646" width="1.85546875" bestFit="1" customWidth="1"/>
    <col min="647" max="647" width="10.5703125" bestFit="1" customWidth="1"/>
    <col min="648" max="648" width="1.85546875" bestFit="1" customWidth="1"/>
    <col min="649" max="649" width="9" bestFit="1" customWidth="1"/>
    <col min="650" max="650" width="1.85546875" bestFit="1" customWidth="1"/>
    <col min="651" max="651" width="10.140625" bestFit="1" customWidth="1"/>
    <col min="652" max="653" width="12" bestFit="1" customWidth="1"/>
    <col min="654" max="654" width="1.85546875" bestFit="1" customWidth="1"/>
    <col min="655" max="655" width="9.5703125" bestFit="1" customWidth="1"/>
    <col min="656" max="656" width="1.85546875" bestFit="1" customWidth="1"/>
    <col min="657" max="657" width="10" bestFit="1" customWidth="1"/>
    <col min="658" max="658" width="1.85546875" bestFit="1" customWidth="1"/>
    <col min="659" max="659" width="9.140625" bestFit="1" customWidth="1"/>
    <col min="660" max="661" width="12" bestFit="1" customWidth="1"/>
    <col min="662" max="662" width="1.85546875" bestFit="1" customWidth="1"/>
    <col min="663" max="663" width="9.5703125" bestFit="1" customWidth="1"/>
    <col min="664" max="664" width="1.85546875" bestFit="1" customWidth="1"/>
    <col min="665" max="665" width="9" bestFit="1" customWidth="1"/>
    <col min="666" max="666" width="1.85546875" bestFit="1" customWidth="1"/>
    <col min="667" max="667" width="12.140625" bestFit="1" customWidth="1"/>
    <col min="668" max="669" width="12" bestFit="1" customWidth="1"/>
    <col min="670" max="670" width="1.85546875" bestFit="1" customWidth="1"/>
    <col min="671" max="671" width="10.5703125" bestFit="1" customWidth="1"/>
    <col min="672" max="672" width="1.85546875" bestFit="1" customWidth="1"/>
    <col min="673" max="673" width="10" bestFit="1" customWidth="1"/>
    <col min="674" max="674" width="1.85546875" bestFit="1" customWidth="1"/>
    <col min="675" max="675" width="10.140625" bestFit="1" customWidth="1"/>
    <col min="676" max="677" width="12" bestFit="1" customWidth="1"/>
    <col min="678" max="678" width="1.85546875" bestFit="1" customWidth="1"/>
    <col min="679" max="679" width="10.5703125" bestFit="1" customWidth="1"/>
    <col min="680" max="680" width="1.85546875" bestFit="1" customWidth="1"/>
    <col min="681" max="681" width="10" bestFit="1" customWidth="1"/>
    <col min="682" max="682" width="1.85546875" bestFit="1" customWidth="1"/>
    <col min="683" max="683" width="11.140625" bestFit="1" customWidth="1"/>
    <col min="684" max="685" width="12" bestFit="1" customWidth="1"/>
    <col min="686" max="686" width="1.85546875" bestFit="1" customWidth="1"/>
    <col min="687" max="687" width="10.5703125" bestFit="1" customWidth="1"/>
    <col min="688" max="688" width="1.85546875" bestFit="1" customWidth="1"/>
    <col min="689" max="689" width="9" bestFit="1" customWidth="1"/>
    <col min="690" max="690" width="1.85546875" bestFit="1" customWidth="1"/>
    <col min="691" max="691" width="11.140625" bestFit="1" customWidth="1"/>
    <col min="692" max="693" width="12" bestFit="1" customWidth="1"/>
    <col min="694" max="694" width="1.85546875" bestFit="1" customWidth="1"/>
    <col min="695" max="695" width="10.5703125" bestFit="1" customWidth="1"/>
    <col min="696" max="696" width="1.85546875" bestFit="1" customWidth="1"/>
    <col min="697" max="697" width="10" bestFit="1" customWidth="1"/>
    <col min="698" max="698" width="1.85546875" bestFit="1" customWidth="1"/>
    <col min="699" max="699" width="11.140625" bestFit="1" customWidth="1"/>
    <col min="700" max="701" width="12" bestFit="1" customWidth="1"/>
    <col min="702" max="702" width="1.85546875" bestFit="1" customWidth="1"/>
    <col min="703" max="703" width="10.5703125" bestFit="1" customWidth="1"/>
    <col min="704" max="704" width="1.85546875" bestFit="1" customWidth="1"/>
    <col min="705" max="705" width="10" bestFit="1" customWidth="1"/>
    <col min="706" max="706" width="1.85546875" bestFit="1" customWidth="1"/>
    <col min="707" max="707" width="11.140625" bestFit="1" customWidth="1"/>
    <col min="708" max="709" width="12" bestFit="1" customWidth="1"/>
    <col min="710" max="710" width="1.85546875" bestFit="1" customWidth="1"/>
    <col min="711" max="711" width="9.5703125" bestFit="1" customWidth="1"/>
    <col min="712" max="712" width="1.85546875" bestFit="1" customWidth="1"/>
    <col min="713" max="713" width="10" bestFit="1" customWidth="1"/>
    <col min="714" max="714" width="1.85546875" bestFit="1" customWidth="1"/>
    <col min="715" max="715" width="11.140625" bestFit="1" customWidth="1"/>
    <col min="716" max="717" width="12" bestFit="1" customWidth="1"/>
    <col min="718" max="718" width="1.85546875" bestFit="1" customWidth="1"/>
    <col min="719" max="719" width="9.5703125" bestFit="1" customWidth="1"/>
    <col min="720" max="720" width="1.85546875" bestFit="1" customWidth="1"/>
    <col min="721" max="721" width="9" bestFit="1" customWidth="1"/>
    <col min="722" max="722" width="1.85546875" bestFit="1" customWidth="1"/>
    <col min="723" max="723" width="11.140625" bestFit="1" customWidth="1"/>
    <col min="724" max="725" width="12" bestFit="1" customWidth="1"/>
    <col min="726" max="726" width="1.85546875" bestFit="1" customWidth="1"/>
    <col min="727" max="727" width="10.5703125" bestFit="1" customWidth="1"/>
    <col min="728" max="728" width="1.85546875" bestFit="1" customWidth="1"/>
    <col min="729" max="729" width="10" bestFit="1" customWidth="1"/>
    <col min="730" max="730" width="1.85546875" bestFit="1" customWidth="1"/>
    <col min="731" max="731" width="12.7109375" bestFit="1" customWidth="1"/>
    <col min="732" max="733" width="12" bestFit="1" customWidth="1"/>
    <col min="734" max="734" width="1.85546875" bestFit="1" customWidth="1"/>
    <col min="735" max="735" width="10.5703125" bestFit="1" customWidth="1"/>
    <col min="736" max="736" width="1.85546875" bestFit="1" customWidth="1"/>
    <col min="737" max="737" width="9" bestFit="1" customWidth="1"/>
    <col min="738" max="738" width="1.85546875" bestFit="1" customWidth="1"/>
    <col min="739" max="739" width="11.140625" bestFit="1" customWidth="1"/>
    <col min="740" max="741" width="12" bestFit="1" customWidth="1"/>
    <col min="742" max="742" width="1.85546875" bestFit="1" customWidth="1"/>
    <col min="743" max="743" width="9.5703125" bestFit="1" customWidth="1"/>
    <col min="744" max="744" width="1.85546875" bestFit="1" customWidth="1"/>
    <col min="745" max="745" width="10" bestFit="1" customWidth="1"/>
    <col min="746" max="746" width="1.85546875" bestFit="1" customWidth="1"/>
    <col min="747" max="747" width="12.140625" bestFit="1" customWidth="1"/>
    <col min="748" max="749" width="12" bestFit="1" customWidth="1"/>
    <col min="750" max="750" width="1.85546875" bestFit="1" customWidth="1"/>
    <col min="751" max="751" width="10.5703125" bestFit="1" customWidth="1"/>
    <col min="752" max="752" width="1.85546875" bestFit="1" customWidth="1"/>
    <col min="753" max="753" width="9" bestFit="1" customWidth="1"/>
    <col min="754" max="754" width="1.85546875" bestFit="1" customWidth="1"/>
    <col min="755" max="755" width="10.140625" bestFit="1" customWidth="1"/>
    <col min="756" max="757" width="12" bestFit="1" customWidth="1"/>
    <col min="758" max="758" width="1.85546875" bestFit="1" customWidth="1"/>
    <col min="759" max="759" width="10.5703125" bestFit="1" customWidth="1"/>
    <col min="760" max="760" width="1.85546875" bestFit="1" customWidth="1"/>
    <col min="761" max="761" width="10" bestFit="1" customWidth="1"/>
    <col min="762" max="762" width="1.85546875" bestFit="1" customWidth="1"/>
    <col min="763" max="763" width="11.140625" bestFit="1" customWidth="1"/>
    <col min="764" max="765" width="12" bestFit="1" customWidth="1"/>
    <col min="766" max="766" width="1.85546875" bestFit="1" customWidth="1"/>
    <col min="767" max="767" width="9.5703125" bestFit="1" customWidth="1"/>
    <col min="768" max="768" width="1.85546875" bestFit="1" customWidth="1"/>
    <col min="769" max="769" width="9" bestFit="1" customWidth="1"/>
    <col min="770" max="770" width="1.85546875" bestFit="1" customWidth="1"/>
    <col min="771" max="771" width="11.140625" bestFit="1" customWidth="1"/>
    <col min="772" max="773" width="12" bestFit="1" customWidth="1"/>
    <col min="774" max="774" width="1.85546875" bestFit="1" customWidth="1"/>
    <col min="775" max="775" width="10.5703125" bestFit="1" customWidth="1"/>
    <col min="776" max="776" width="1.85546875" bestFit="1" customWidth="1"/>
    <col min="777" max="777" width="9" bestFit="1" customWidth="1"/>
    <col min="778" max="778" width="1.85546875" bestFit="1" customWidth="1"/>
    <col min="779" max="779" width="11.140625" bestFit="1" customWidth="1"/>
    <col min="780" max="781" width="12" bestFit="1" customWidth="1"/>
    <col min="782" max="782" width="1.85546875" bestFit="1" customWidth="1"/>
    <col min="783" max="783" width="10.5703125" bestFit="1" customWidth="1"/>
    <col min="784" max="784" width="1.85546875" bestFit="1" customWidth="1"/>
    <col min="785" max="785" width="9" bestFit="1" customWidth="1"/>
    <col min="786" max="786" width="1.85546875" bestFit="1" customWidth="1"/>
    <col min="787" max="787" width="11.7109375" bestFit="1" customWidth="1"/>
    <col min="788" max="789" width="12" bestFit="1" customWidth="1"/>
    <col min="790" max="790" width="1.85546875" bestFit="1" customWidth="1"/>
    <col min="791" max="791" width="10.5703125" bestFit="1" customWidth="1"/>
    <col min="792" max="792" width="1.85546875" bestFit="1" customWidth="1"/>
    <col min="793" max="793" width="9" bestFit="1" customWidth="1"/>
    <col min="794" max="794" width="1.85546875" bestFit="1" customWidth="1"/>
    <col min="795" max="795" width="9.140625" bestFit="1" customWidth="1"/>
    <col min="796" max="797" width="12" bestFit="1" customWidth="1"/>
    <col min="798" max="798" width="1.85546875" bestFit="1" customWidth="1"/>
    <col min="799" max="799" width="11.5703125" bestFit="1" customWidth="1"/>
    <col min="800" max="800" width="1.85546875" bestFit="1" customWidth="1"/>
    <col min="801" max="801" width="10" bestFit="1" customWidth="1"/>
    <col min="802" max="802" width="1.85546875" bestFit="1" customWidth="1"/>
    <col min="803" max="803" width="9.140625" bestFit="1" customWidth="1"/>
    <col min="804" max="805" width="12" bestFit="1" customWidth="1"/>
    <col min="806" max="806" width="1.85546875" bestFit="1" customWidth="1"/>
    <col min="807" max="807" width="12.5703125" bestFit="1" customWidth="1"/>
    <col min="808" max="808" width="1.85546875" bestFit="1" customWidth="1"/>
    <col min="809" max="809" width="10" bestFit="1" customWidth="1"/>
    <col min="810" max="810" width="1.85546875" bestFit="1" customWidth="1"/>
    <col min="811" max="811" width="11.140625" bestFit="1" customWidth="1"/>
    <col min="812" max="813" width="12" bestFit="1" customWidth="1"/>
    <col min="814" max="814" width="1.85546875" bestFit="1" customWidth="1"/>
    <col min="815" max="815" width="12.5703125" bestFit="1" customWidth="1"/>
    <col min="816" max="816" width="1.85546875" bestFit="1" customWidth="1"/>
    <col min="817" max="817" width="9" bestFit="1" customWidth="1"/>
    <col min="818" max="818" width="1.85546875" bestFit="1" customWidth="1"/>
    <col min="819" max="819" width="10.140625" bestFit="1" customWidth="1"/>
    <col min="820" max="821" width="12" bestFit="1" customWidth="1"/>
    <col min="822" max="822" width="1.85546875" bestFit="1" customWidth="1"/>
    <col min="823" max="823" width="12.5703125" bestFit="1" customWidth="1"/>
    <col min="824" max="824" width="1.85546875" bestFit="1" customWidth="1"/>
    <col min="825" max="825" width="10" bestFit="1" customWidth="1"/>
    <col min="826" max="826" width="1.85546875" bestFit="1" customWidth="1"/>
    <col min="827" max="827" width="10.28515625" bestFit="1" customWidth="1"/>
  </cols>
  <sheetData>
    <row r="1" spans="1:339" x14ac:dyDescent="0.25">
      <c r="A1" t="s">
        <v>0</v>
      </c>
      <c r="B1" t="s">
        <v>1</v>
      </c>
      <c r="C1" t="s">
        <v>2</v>
      </c>
      <c r="D1" t="s">
        <v>3</v>
      </c>
      <c r="E1">
        <v>1679293130916</v>
      </c>
      <c r="F1" t="s">
        <v>4</v>
      </c>
      <c r="G1">
        <v>-3.6113675000000001</v>
      </c>
      <c r="H1" t="s">
        <v>5</v>
      </c>
      <c r="I1" s="3">
        <v>8.9685980000000001</v>
      </c>
      <c r="J1" t="s">
        <v>6</v>
      </c>
      <c r="K1" t="s">
        <v>12</v>
      </c>
      <c r="L1" t="s">
        <v>7</v>
      </c>
      <c r="M1">
        <v>1679293131312</v>
      </c>
      <c r="N1" t="s">
        <v>4</v>
      </c>
      <c r="O1">
        <v>-3.5560336000000001</v>
      </c>
      <c r="P1" t="s">
        <v>5</v>
      </c>
      <c r="Q1">
        <v>9.038888</v>
      </c>
      <c r="R1" t="s">
        <v>6</v>
      </c>
      <c r="S1" t="s">
        <v>13</v>
      </c>
      <c r="T1" t="s">
        <v>7</v>
      </c>
      <c r="U1">
        <v>1679293131694</v>
      </c>
      <c r="V1" t="s">
        <v>4</v>
      </c>
      <c r="W1">
        <v>-3.6915271000000001</v>
      </c>
      <c r="X1" t="s">
        <v>5</v>
      </c>
      <c r="Y1" s="3">
        <v>8.9389869999999991</v>
      </c>
      <c r="Z1" t="s">
        <v>6</v>
      </c>
      <c r="AA1" t="s">
        <v>14</v>
      </c>
      <c r="AB1" t="s">
        <v>7</v>
      </c>
      <c r="AC1">
        <v>1679293132083</v>
      </c>
      <c r="AD1" t="s">
        <v>4</v>
      </c>
      <c r="AE1">
        <v>-3.5141591999999999</v>
      </c>
      <c r="AF1" t="s">
        <v>5</v>
      </c>
      <c r="AG1">
        <v>9.005687</v>
      </c>
      <c r="AH1" t="s">
        <v>6</v>
      </c>
      <c r="AI1" t="s">
        <v>15</v>
      </c>
      <c r="AJ1" t="s">
        <v>7</v>
      </c>
      <c r="AK1">
        <v>1679293132285</v>
      </c>
      <c r="AL1" t="s">
        <v>4</v>
      </c>
      <c r="AM1">
        <v>-3.5443685</v>
      </c>
      <c r="AN1" t="s">
        <v>5</v>
      </c>
      <c r="AO1">
        <v>8.9901339999999994</v>
      </c>
      <c r="AP1" t="s">
        <v>6</v>
      </c>
      <c r="AQ1" t="s">
        <v>16</v>
      </c>
      <c r="AR1" t="s">
        <v>7</v>
      </c>
      <c r="AS1">
        <v>1679293132667</v>
      </c>
      <c r="AT1" t="s">
        <v>4</v>
      </c>
      <c r="AU1">
        <v>-3.5533416</v>
      </c>
      <c r="AV1" t="s">
        <v>5</v>
      </c>
      <c r="AW1">
        <v>9.026923</v>
      </c>
      <c r="AX1" t="s">
        <v>6</v>
      </c>
      <c r="AY1" t="s">
        <v>17</v>
      </c>
      <c r="AZ1" t="s">
        <v>7</v>
      </c>
      <c r="BA1">
        <v>1679293133058</v>
      </c>
      <c r="BB1" t="s">
        <v>4</v>
      </c>
      <c r="BC1">
        <v>-3.3122647000000001</v>
      </c>
      <c r="BD1" t="s">
        <v>5</v>
      </c>
      <c r="BE1">
        <v>9.1139620000000008</v>
      </c>
      <c r="BF1" t="s">
        <v>6</v>
      </c>
      <c r="BG1" t="s">
        <v>18</v>
      </c>
      <c r="BH1" t="s">
        <v>7</v>
      </c>
      <c r="BI1">
        <v>1679293133452</v>
      </c>
      <c r="BJ1" t="s">
        <v>4</v>
      </c>
      <c r="BK1">
        <v>-3.2703902999999999</v>
      </c>
      <c r="BL1" t="s">
        <v>5</v>
      </c>
      <c r="BM1">
        <v>9.1465645000000002</v>
      </c>
      <c r="BN1" t="s">
        <v>6</v>
      </c>
      <c r="BO1" t="s">
        <v>19</v>
      </c>
      <c r="BP1" t="s">
        <v>7</v>
      </c>
      <c r="BQ1">
        <v>1679293133841</v>
      </c>
      <c r="BR1" t="s">
        <v>4</v>
      </c>
      <c r="BS1">
        <v>-3.0616167000000001</v>
      </c>
      <c r="BT1" t="s">
        <v>5</v>
      </c>
      <c r="BU1">
        <v>9.6385889999999996</v>
      </c>
      <c r="BV1" t="s">
        <v>6</v>
      </c>
      <c r="BW1" t="s">
        <v>20</v>
      </c>
      <c r="BX1" t="s">
        <v>7</v>
      </c>
      <c r="BY1">
        <v>1679293134229</v>
      </c>
      <c r="BZ1" t="s">
        <v>4</v>
      </c>
      <c r="CA1">
        <v>-2.0796619999999999</v>
      </c>
      <c r="CB1" t="s">
        <v>5</v>
      </c>
      <c r="CC1">
        <v>9.9197450000000007</v>
      </c>
      <c r="CD1" t="s">
        <v>6</v>
      </c>
      <c r="CE1" t="s">
        <v>21</v>
      </c>
      <c r="CF1" t="s">
        <v>7</v>
      </c>
      <c r="CG1">
        <v>1679293134621</v>
      </c>
      <c r="CH1" t="s">
        <v>4</v>
      </c>
      <c r="CI1">
        <v>-1.5628123</v>
      </c>
      <c r="CJ1" t="s">
        <v>5</v>
      </c>
      <c r="CK1">
        <v>9.8883399999999995</v>
      </c>
      <c r="CL1" t="s">
        <v>6</v>
      </c>
      <c r="CM1" t="s">
        <v>22</v>
      </c>
      <c r="CN1" t="s">
        <v>7</v>
      </c>
      <c r="CO1">
        <v>1679293135009</v>
      </c>
      <c r="CP1" t="s">
        <v>4</v>
      </c>
      <c r="CQ1">
        <v>-1.558924</v>
      </c>
      <c r="CR1" t="s">
        <v>5</v>
      </c>
      <c r="CS1">
        <v>10.171290000000001</v>
      </c>
      <c r="CT1" t="s">
        <v>6</v>
      </c>
      <c r="CU1" t="s">
        <v>23</v>
      </c>
      <c r="CV1" t="s">
        <v>7</v>
      </c>
      <c r="CW1">
        <v>1679293135397</v>
      </c>
      <c r="CX1" t="s">
        <v>4</v>
      </c>
      <c r="CY1">
        <v>-0.74745799999999996</v>
      </c>
      <c r="CZ1" t="s">
        <v>5</v>
      </c>
      <c r="DA1">
        <v>9.8234340000000007</v>
      </c>
      <c r="DB1" t="s">
        <v>6</v>
      </c>
      <c r="DC1" t="s">
        <v>24</v>
      </c>
      <c r="DD1" t="s">
        <v>7</v>
      </c>
      <c r="DE1">
        <v>1679293135787</v>
      </c>
      <c r="DF1" t="s">
        <v>4</v>
      </c>
      <c r="DG1">
        <v>-4.8454656999999998E-2</v>
      </c>
      <c r="DH1" t="s">
        <v>5</v>
      </c>
      <c r="DI1">
        <v>9.7393870000000007</v>
      </c>
      <c r="DJ1" t="s">
        <v>6</v>
      </c>
      <c r="DK1" t="s">
        <v>25</v>
      </c>
      <c r="DL1" t="s">
        <v>7</v>
      </c>
      <c r="DM1">
        <v>1679293136174</v>
      </c>
      <c r="DN1" t="s">
        <v>4</v>
      </c>
      <c r="DO1">
        <v>0.16749759</v>
      </c>
      <c r="DP1" t="s">
        <v>5</v>
      </c>
      <c r="DQ1">
        <v>9.2273230000000002</v>
      </c>
      <c r="DR1" t="s">
        <v>6</v>
      </c>
      <c r="DS1" t="s">
        <v>26</v>
      </c>
      <c r="DT1" t="s">
        <v>7</v>
      </c>
      <c r="DU1">
        <v>1679293136562</v>
      </c>
      <c r="DV1" t="s">
        <v>4</v>
      </c>
      <c r="DW1">
        <v>1.3202399</v>
      </c>
      <c r="DX1" t="s">
        <v>5</v>
      </c>
      <c r="DY1">
        <v>8.6348000000000003</v>
      </c>
      <c r="DZ1" t="s">
        <v>6</v>
      </c>
      <c r="EA1" t="s">
        <v>27</v>
      </c>
      <c r="EB1" t="s">
        <v>7</v>
      </c>
      <c r="EC1">
        <v>1679293136950</v>
      </c>
      <c r="ED1" t="s">
        <v>4</v>
      </c>
      <c r="EE1">
        <v>2.4332015999999999</v>
      </c>
      <c r="EF1" t="s">
        <v>5</v>
      </c>
      <c r="EG1">
        <v>7.8729849999999999</v>
      </c>
      <c r="EH1" t="s">
        <v>6</v>
      </c>
      <c r="EI1" t="s">
        <v>28</v>
      </c>
      <c r="EJ1" t="s">
        <v>7</v>
      </c>
      <c r="EK1">
        <v>1679293137341</v>
      </c>
      <c r="EL1" t="s">
        <v>4</v>
      </c>
      <c r="EM1">
        <v>3.3385859</v>
      </c>
      <c r="EN1" t="s">
        <v>5</v>
      </c>
      <c r="EO1">
        <v>6.8784675999999996</v>
      </c>
      <c r="EP1" t="s">
        <v>6</v>
      </c>
      <c r="EQ1" t="s">
        <v>29</v>
      </c>
      <c r="ER1" t="s">
        <v>7</v>
      </c>
      <c r="ES1">
        <v>1679293137732</v>
      </c>
      <c r="ET1" t="s">
        <v>4</v>
      </c>
      <c r="EU1">
        <v>4.3516469999999998</v>
      </c>
      <c r="EV1" t="s">
        <v>5</v>
      </c>
      <c r="EW1">
        <v>4.1886359999999998</v>
      </c>
      <c r="EX1" t="s">
        <v>6</v>
      </c>
      <c r="EY1" t="s">
        <v>30</v>
      </c>
      <c r="EZ1" t="s">
        <v>7</v>
      </c>
      <c r="FA1">
        <v>1679293138118</v>
      </c>
      <c r="FB1" t="s">
        <v>4</v>
      </c>
      <c r="FC1">
        <v>4.4524445999999998</v>
      </c>
      <c r="FD1" t="s">
        <v>5</v>
      </c>
      <c r="FE1">
        <v>3.3003005999999999</v>
      </c>
      <c r="FF1" t="s">
        <v>6</v>
      </c>
      <c r="FG1" t="s">
        <v>31</v>
      </c>
      <c r="FH1" t="s">
        <v>7</v>
      </c>
      <c r="FI1">
        <v>1679293138506</v>
      </c>
      <c r="FJ1" t="s">
        <v>4</v>
      </c>
      <c r="FK1">
        <v>4.6079783000000001</v>
      </c>
      <c r="FL1" t="s">
        <v>5</v>
      </c>
      <c r="FM1">
        <v>2.4939193999999998</v>
      </c>
      <c r="FN1" t="s">
        <v>6</v>
      </c>
      <c r="FO1" t="s">
        <v>32</v>
      </c>
      <c r="FP1" t="s">
        <v>7</v>
      </c>
      <c r="FQ1">
        <v>1679293138895</v>
      </c>
      <c r="FR1" t="s">
        <v>4</v>
      </c>
      <c r="FS1">
        <v>4.5014976999999998</v>
      </c>
      <c r="FT1" t="s">
        <v>5</v>
      </c>
      <c r="FU1">
        <v>2.3916260999999999</v>
      </c>
      <c r="FV1" t="s">
        <v>6</v>
      </c>
      <c r="FW1" t="s">
        <v>33</v>
      </c>
      <c r="FX1" t="s">
        <v>7</v>
      </c>
      <c r="FY1">
        <v>1679293139095</v>
      </c>
      <c r="FZ1" t="s">
        <v>4</v>
      </c>
      <c r="GA1">
        <v>5.3081779999999998</v>
      </c>
      <c r="GB1" t="s">
        <v>5</v>
      </c>
      <c r="GC1">
        <v>4.2421756000000004</v>
      </c>
      <c r="GD1" t="s">
        <v>6</v>
      </c>
      <c r="GE1" t="s">
        <v>34</v>
      </c>
      <c r="GF1" t="s">
        <v>7</v>
      </c>
      <c r="GG1">
        <v>1679293139477</v>
      </c>
      <c r="GH1" t="s">
        <v>4</v>
      </c>
      <c r="GI1">
        <v>3.7250266000000001</v>
      </c>
      <c r="GJ1" t="s">
        <v>5</v>
      </c>
      <c r="GK1">
        <v>6.7274209999999997</v>
      </c>
      <c r="GL1" t="s">
        <v>6</v>
      </c>
      <c r="GM1" t="s">
        <v>35</v>
      </c>
      <c r="GN1" t="s">
        <v>7</v>
      </c>
      <c r="GO1">
        <v>1679293139677</v>
      </c>
      <c r="GP1" t="s">
        <v>4</v>
      </c>
      <c r="GQ1">
        <v>3.132803</v>
      </c>
      <c r="GR1" t="s">
        <v>5</v>
      </c>
      <c r="GS1">
        <v>8.5495560000000008</v>
      </c>
      <c r="GT1" t="s">
        <v>6</v>
      </c>
      <c r="GU1" t="s">
        <v>36</v>
      </c>
      <c r="GV1" t="s">
        <v>7</v>
      </c>
      <c r="GW1">
        <v>1679293140063</v>
      </c>
      <c r="GX1" t="s">
        <v>4</v>
      </c>
      <c r="GY1">
        <v>1.0546366</v>
      </c>
      <c r="GZ1" t="s">
        <v>5</v>
      </c>
      <c r="HA1">
        <v>7.3214392999999998</v>
      </c>
      <c r="HB1" t="s">
        <v>6</v>
      </c>
      <c r="HC1" t="s">
        <v>37</v>
      </c>
      <c r="HD1" t="s">
        <v>7</v>
      </c>
      <c r="HE1">
        <v>1679293140456</v>
      </c>
      <c r="HF1" t="s">
        <v>4</v>
      </c>
      <c r="HG1">
        <v>-1.2804591999999999</v>
      </c>
      <c r="HH1" t="s">
        <v>5</v>
      </c>
      <c r="HI1">
        <v>9.2961159999999996</v>
      </c>
      <c r="HJ1" t="s">
        <v>6</v>
      </c>
      <c r="HK1" t="s">
        <v>38</v>
      </c>
      <c r="HL1" t="s">
        <v>7</v>
      </c>
      <c r="HM1">
        <v>1679293140842</v>
      </c>
      <c r="HN1" t="s">
        <v>4</v>
      </c>
      <c r="HO1">
        <v>-1.9118652</v>
      </c>
      <c r="HP1" t="s">
        <v>5</v>
      </c>
      <c r="HQ1">
        <v>9.6107720000000008</v>
      </c>
      <c r="HR1" t="s">
        <v>6</v>
      </c>
      <c r="HS1" t="s">
        <v>39</v>
      </c>
      <c r="HT1" t="s">
        <v>7</v>
      </c>
      <c r="HU1">
        <v>1679293141234</v>
      </c>
      <c r="HV1" t="s">
        <v>4</v>
      </c>
      <c r="HW1">
        <v>-2.021636</v>
      </c>
      <c r="HX1" t="s">
        <v>5</v>
      </c>
      <c r="HY1">
        <v>9.7348994999999992</v>
      </c>
      <c r="HZ1" t="s">
        <v>6</v>
      </c>
      <c r="IA1" t="s">
        <v>11</v>
      </c>
      <c r="IB1" t="s">
        <v>7</v>
      </c>
      <c r="IC1">
        <v>1679293141624</v>
      </c>
      <c r="ID1" t="s">
        <v>4</v>
      </c>
      <c r="IE1">
        <v>-2.7083762</v>
      </c>
      <c r="IF1" t="s">
        <v>5</v>
      </c>
      <c r="IG1">
        <v>9.7031949999999991</v>
      </c>
      <c r="IH1" t="s">
        <v>6</v>
      </c>
      <c r="II1" t="s">
        <v>40</v>
      </c>
      <c r="IJ1" t="s">
        <v>7</v>
      </c>
      <c r="IK1">
        <v>1679293142009</v>
      </c>
      <c r="IL1" t="s">
        <v>4</v>
      </c>
      <c r="IM1">
        <v>-2.6255248</v>
      </c>
      <c r="IN1" t="s">
        <v>5</v>
      </c>
      <c r="IO1">
        <v>9.2871430000000004</v>
      </c>
      <c r="IP1" t="s">
        <v>6</v>
      </c>
      <c r="IQ1" t="s">
        <v>41</v>
      </c>
      <c r="IR1" t="s">
        <v>7</v>
      </c>
      <c r="IS1">
        <v>1679293142401</v>
      </c>
      <c r="IT1" t="s">
        <v>4</v>
      </c>
      <c r="IU1">
        <v>-2.0880367999999998</v>
      </c>
      <c r="IV1" t="s">
        <v>5</v>
      </c>
      <c r="IW1">
        <v>9.3625159999999994</v>
      </c>
      <c r="IX1" t="s">
        <v>6</v>
      </c>
      <c r="IY1" t="s">
        <v>42</v>
      </c>
      <c r="IZ1" t="s">
        <v>7</v>
      </c>
      <c r="JA1">
        <v>1679293142791</v>
      </c>
      <c r="JB1" t="s">
        <v>4</v>
      </c>
      <c r="JC1">
        <v>-1.5236297999999999</v>
      </c>
      <c r="JD1" t="s">
        <v>5</v>
      </c>
      <c r="JE1">
        <v>9.2156570000000002</v>
      </c>
      <c r="JF1" t="s">
        <v>6</v>
      </c>
      <c r="JG1" t="s">
        <v>43</v>
      </c>
      <c r="JH1" t="s">
        <v>7</v>
      </c>
      <c r="JI1">
        <v>1679293143178</v>
      </c>
      <c r="JJ1" t="s">
        <v>4</v>
      </c>
      <c r="JK1">
        <v>-1.2044870999999999</v>
      </c>
      <c r="JL1" t="s">
        <v>5</v>
      </c>
      <c r="JM1">
        <v>9.2671030000000005</v>
      </c>
      <c r="JN1" t="s">
        <v>6</v>
      </c>
      <c r="JO1" t="s">
        <v>44</v>
      </c>
      <c r="JP1" t="s">
        <v>7</v>
      </c>
      <c r="JQ1">
        <v>1679293143567</v>
      </c>
      <c r="JR1" t="s">
        <v>4</v>
      </c>
      <c r="JS1">
        <v>-1.6432709999999999</v>
      </c>
      <c r="JT1" t="s">
        <v>5</v>
      </c>
      <c r="JU1">
        <v>9.5084789999999995</v>
      </c>
      <c r="JV1" t="s">
        <v>6</v>
      </c>
      <c r="JW1" t="s">
        <v>45</v>
      </c>
      <c r="JX1" t="s">
        <v>7</v>
      </c>
      <c r="JY1">
        <v>1679293143767</v>
      </c>
      <c r="JZ1" t="s">
        <v>4</v>
      </c>
      <c r="KA1">
        <v>-1.640579</v>
      </c>
      <c r="KB1" t="s">
        <v>5</v>
      </c>
      <c r="KC1">
        <v>9.5276209999999999</v>
      </c>
      <c r="KD1" t="s">
        <v>6</v>
      </c>
      <c r="KE1" t="s">
        <v>46</v>
      </c>
      <c r="KF1" t="s">
        <v>7</v>
      </c>
      <c r="KG1">
        <v>1679293144149</v>
      </c>
      <c r="KH1" t="s">
        <v>4</v>
      </c>
      <c r="KI1">
        <v>-1.5323038</v>
      </c>
      <c r="KJ1" t="s">
        <v>5</v>
      </c>
      <c r="KK1">
        <v>9.6535430000000009</v>
      </c>
      <c r="KL1" t="s">
        <v>6</v>
      </c>
      <c r="KM1" t="s">
        <v>47</v>
      </c>
      <c r="KN1" t="s">
        <v>7</v>
      </c>
      <c r="KO1">
        <v>1679293144539</v>
      </c>
      <c r="KP1" t="s">
        <v>4</v>
      </c>
      <c r="KQ1">
        <v>-1.5251254000000001</v>
      </c>
      <c r="KR1" t="s">
        <v>5</v>
      </c>
      <c r="KS1">
        <v>9.7513500000000004</v>
      </c>
      <c r="KT1" t="s">
        <v>6</v>
      </c>
      <c r="KU1" t="s">
        <v>48</v>
      </c>
      <c r="KV1" t="s">
        <v>7</v>
      </c>
      <c r="KW1">
        <v>1679293144930</v>
      </c>
      <c r="KX1" t="s">
        <v>4</v>
      </c>
      <c r="KY1">
        <v>-1.448555</v>
      </c>
      <c r="KZ1" t="s">
        <v>5</v>
      </c>
      <c r="LA1">
        <v>9.7016989999999996</v>
      </c>
      <c r="LB1" t="s">
        <v>6</v>
      </c>
      <c r="LC1" t="s">
        <v>49</v>
      </c>
      <c r="LD1" t="s">
        <v>7</v>
      </c>
      <c r="LE1">
        <v>1679293145319</v>
      </c>
      <c r="LF1" t="s">
        <v>4</v>
      </c>
      <c r="LG1">
        <v>-1.2996018</v>
      </c>
      <c r="LH1" t="s">
        <v>5</v>
      </c>
      <c r="LI1">
        <v>9.7217400000000005</v>
      </c>
      <c r="LJ1" t="s">
        <v>6</v>
      </c>
      <c r="LK1" t="s">
        <v>50</v>
      </c>
      <c r="LL1" t="s">
        <v>7</v>
      </c>
      <c r="LM1">
        <v>1679293145707</v>
      </c>
      <c r="LN1" t="s">
        <v>4</v>
      </c>
      <c r="LO1">
        <v>-1.3142579000000001</v>
      </c>
      <c r="LP1" t="s">
        <v>5</v>
      </c>
      <c r="LQ1">
        <v>9.7097750000000005</v>
      </c>
      <c r="LR1" t="s">
        <v>6</v>
      </c>
      <c r="LS1" t="s">
        <v>51</v>
      </c>
      <c r="LT1" t="s">
        <v>7</v>
      </c>
      <c r="LU1">
        <v>1679293146094</v>
      </c>
      <c r="LV1" t="s">
        <v>4</v>
      </c>
      <c r="LW1">
        <v>-1.2352947000000001</v>
      </c>
      <c r="LX1" t="s">
        <v>5</v>
      </c>
      <c r="LY1">
        <v>9.6801639999999995</v>
      </c>
      <c r="LZ1" t="s">
        <v>6</v>
      </c>
      <c r="MA1" t="s">
        <v>52</v>
      </c>
    </row>
    <row r="2" spans="1:339" x14ac:dyDescent="0.25">
      <c r="A2">
        <v>389</v>
      </c>
      <c r="B2">
        <v>-3.5141591999999999</v>
      </c>
      <c r="C2">
        <v>9.005687</v>
      </c>
      <c r="D2">
        <v>1.7691933</v>
      </c>
    </row>
    <row r="3" spans="1:339" x14ac:dyDescent="0.25">
      <c r="A3">
        <v>202</v>
      </c>
      <c r="B3">
        <v>-3.5443685</v>
      </c>
      <c r="C3">
        <v>8.9901339999999994</v>
      </c>
      <c r="D3">
        <v>1.7895322</v>
      </c>
    </row>
    <row r="4" spans="1:339" x14ac:dyDescent="0.25">
      <c r="A4">
        <v>382</v>
      </c>
      <c r="B4">
        <v>-3.5533416</v>
      </c>
      <c r="C4">
        <v>9.026923</v>
      </c>
      <c r="D4">
        <v>1.6621144000000001</v>
      </c>
    </row>
    <row r="5" spans="1:339" x14ac:dyDescent="0.25">
      <c r="A5">
        <v>391</v>
      </c>
      <c r="B5">
        <v>-3.3122647000000001</v>
      </c>
      <c r="C5">
        <v>9.1139620000000008</v>
      </c>
      <c r="D5">
        <v>1.4955141999999999</v>
      </c>
    </row>
    <row r="6" spans="1:339" x14ac:dyDescent="0.25">
      <c r="A6">
        <v>394</v>
      </c>
      <c r="B6">
        <v>-3.2703902999999999</v>
      </c>
      <c r="C6">
        <v>9.1465645000000002</v>
      </c>
      <c r="D6">
        <v>0.66849479999999994</v>
      </c>
    </row>
    <row r="7" spans="1:339" x14ac:dyDescent="0.25">
      <c r="A7">
        <v>389</v>
      </c>
      <c r="B7">
        <v>-3.0616167000000001</v>
      </c>
      <c r="C7">
        <v>9.6385889999999996</v>
      </c>
      <c r="D7">
        <v>0.88953179999999998</v>
      </c>
    </row>
    <row r="8" spans="1:339" x14ac:dyDescent="0.25">
      <c r="A8">
        <v>388</v>
      </c>
      <c r="B8">
        <v>-2.0796619999999999</v>
      </c>
      <c r="C8">
        <v>9.9197450000000007</v>
      </c>
      <c r="D8">
        <v>0.81684979999999996</v>
      </c>
    </row>
    <row r="9" spans="1:339" x14ac:dyDescent="0.25">
      <c r="A9">
        <v>392</v>
      </c>
      <c r="B9">
        <v>-1.5628123</v>
      </c>
      <c r="C9">
        <v>9.8883399999999995</v>
      </c>
      <c r="D9">
        <v>0.46061835000000001</v>
      </c>
    </row>
    <row r="10" spans="1:339" x14ac:dyDescent="0.25">
      <c r="A10">
        <v>388</v>
      </c>
      <c r="B10">
        <v>-1.558924</v>
      </c>
      <c r="C10">
        <v>10.171290000000001</v>
      </c>
      <c r="D10">
        <v>1.1709875999999999</v>
      </c>
    </row>
    <row r="11" spans="1:339" x14ac:dyDescent="0.25">
      <c r="A11">
        <v>388</v>
      </c>
      <c r="B11">
        <v>-0.74745799999999996</v>
      </c>
      <c r="C11">
        <v>9.8234340000000007</v>
      </c>
      <c r="D11">
        <v>1.7823538000000001</v>
      </c>
    </row>
    <row r="12" spans="1:339" x14ac:dyDescent="0.25">
      <c r="A12">
        <v>390</v>
      </c>
      <c r="B12">
        <v>-4.8454656999999998E-2</v>
      </c>
      <c r="C12">
        <v>9.7393870000000007</v>
      </c>
      <c r="D12">
        <v>3.5694933</v>
      </c>
    </row>
    <row r="13" spans="1:339" x14ac:dyDescent="0.25">
      <c r="A13">
        <v>387</v>
      </c>
      <c r="B13">
        <v>0.16749759</v>
      </c>
      <c r="C13">
        <v>9.2273230000000002</v>
      </c>
      <c r="D13">
        <v>3.3583267000000001</v>
      </c>
    </row>
    <row r="14" spans="1:339" x14ac:dyDescent="0.25">
      <c r="A14">
        <v>388</v>
      </c>
      <c r="B14">
        <v>1.3202399</v>
      </c>
      <c r="C14">
        <v>8.6348000000000003</v>
      </c>
      <c r="D14">
        <v>4.0289149999999996</v>
      </c>
    </row>
    <row r="15" spans="1:339" x14ac:dyDescent="0.25">
      <c r="A15">
        <v>388</v>
      </c>
      <c r="B15">
        <v>2.4332015999999999</v>
      </c>
      <c r="C15">
        <v>7.8729849999999999</v>
      </c>
      <c r="D15">
        <v>5.3126645000000003</v>
      </c>
    </row>
    <row r="16" spans="1:339" x14ac:dyDescent="0.25">
      <c r="A16">
        <v>391</v>
      </c>
      <c r="B16">
        <v>3.3385859</v>
      </c>
      <c r="C16">
        <v>6.8784675999999996</v>
      </c>
      <c r="D16">
        <v>5.5776696000000001</v>
      </c>
    </row>
    <row r="17" spans="1:4" x14ac:dyDescent="0.25">
      <c r="A17">
        <v>391</v>
      </c>
      <c r="B17">
        <v>4.3516469999999998</v>
      </c>
      <c r="C17">
        <v>4.1886359999999998</v>
      </c>
      <c r="D17">
        <v>7.3175507</v>
      </c>
    </row>
    <row r="18" spans="1:4" x14ac:dyDescent="0.25">
      <c r="A18">
        <v>386</v>
      </c>
      <c r="B18">
        <v>4.4524445999999998</v>
      </c>
      <c r="C18">
        <v>3.3003005999999999</v>
      </c>
      <c r="D18">
        <v>7.8239317000000002</v>
      </c>
    </row>
    <row r="19" spans="1:4" x14ac:dyDescent="0.25">
      <c r="A19">
        <v>388</v>
      </c>
      <c r="B19">
        <v>4.6079783000000001</v>
      </c>
      <c r="C19">
        <v>2.4939193999999998</v>
      </c>
      <c r="D19">
        <v>8.1508509999999994</v>
      </c>
    </row>
    <row r="20" spans="1:4" x14ac:dyDescent="0.25">
      <c r="A20">
        <v>389</v>
      </c>
      <c r="B20">
        <v>4.5014976999999998</v>
      </c>
      <c r="C20">
        <v>2.3916260999999999</v>
      </c>
      <c r="D20">
        <v>7.3734830000000002</v>
      </c>
    </row>
    <row r="21" spans="1:4" x14ac:dyDescent="0.25">
      <c r="A21">
        <v>200</v>
      </c>
      <c r="B21">
        <v>5.3081779999999998</v>
      </c>
      <c r="C21">
        <v>4.2421756000000004</v>
      </c>
      <c r="D21">
        <v>6.7325059999999999</v>
      </c>
    </row>
    <row r="22" spans="1:4" x14ac:dyDescent="0.25">
      <c r="A22">
        <v>382</v>
      </c>
      <c r="B22">
        <v>3.7250266000000001</v>
      </c>
      <c r="C22">
        <v>6.7274209999999997</v>
      </c>
      <c r="D22">
        <v>6.4357959999999999</v>
      </c>
    </row>
    <row r="23" spans="1:4" x14ac:dyDescent="0.25">
      <c r="A23">
        <v>200</v>
      </c>
      <c r="B23">
        <v>3.132803</v>
      </c>
      <c r="C23">
        <v>8.5495560000000008</v>
      </c>
      <c r="D23">
        <v>6.1232332999999999</v>
      </c>
    </row>
    <row r="24" spans="1:4" x14ac:dyDescent="0.25">
      <c r="A24">
        <v>386</v>
      </c>
      <c r="B24">
        <v>1.0546366</v>
      </c>
      <c r="C24">
        <v>7.3214392999999998</v>
      </c>
      <c r="D24">
        <v>4.8798630000000003</v>
      </c>
    </row>
    <row r="25" spans="1:4" x14ac:dyDescent="0.25">
      <c r="A25">
        <v>393</v>
      </c>
      <c r="B25">
        <v>-1.2804591999999999</v>
      </c>
      <c r="C25">
        <v>9.2961159999999996</v>
      </c>
      <c r="D25">
        <v>3.4929228000000001</v>
      </c>
    </row>
    <row r="26" spans="1:4" x14ac:dyDescent="0.25">
      <c r="A26">
        <v>386</v>
      </c>
      <c r="B26">
        <v>-1.9118652</v>
      </c>
      <c r="C26">
        <v>9.6107720000000008</v>
      </c>
      <c r="D26">
        <v>2.1774684999999998</v>
      </c>
    </row>
    <row r="27" spans="1:4" x14ac:dyDescent="0.25">
      <c r="A27">
        <v>392</v>
      </c>
      <c r="B27">
        <v>-2.021636</v>
      </c>
      <c r="C27">
        <v>9.7348994999999992</v>
      </c>
      <c r="D27">
        <v>0.15463615999999999</v>
      </c>
    </row>
    <row r="28" spans="1:4" x14ac:dyDescent="0.25">
      <c r="A28">
        <v>390</v>
      </c>
      <c r="B28">
        <v>-2.7083762</v>
      </c>
      <c r="C28">
        <v>9.7031949999999991</v>
      </c>
      <c r="D28">
        <v>-2.4050858000000002</v>
      </c>
    </row>
    <row r="29" spans="1:4" x14ac:dyDescent="0.25">
      <c r="A29">
        <v>385</v>
      </c>
      <c r="B29">
        <v>-2.6255248</v>
      </c>
      <c r="C29">
        <v>9.2871430000000004</v>
      </c>
      <c r="D29">
        <v>-2.0865414000000002</v>
      </c>
    </row>
    <row r="30" spans="1:4" x14ac:dyDescent="0.25">
      <c r="A30">
        <v>392</v>
      </c>
      <c r="B30">
        <v>-2.0880367999999998</v>
      </c>
      <c r="C30">
        <v>9.3625159999999994</v>
      </c>
      <c r="D30">
        <v>-3.4642089999999999</v>
      </c>
    </row>
    <row r="31" spans="1:4" x14ac:dyDescent="0.25">
      <c r="A31">
        <v>390</v>
      </c>
      <c r="B31">
        <v>-1.5236297999999999</v>
      </c>
      <c r="C31">
        <v>9.2156570000000002</v>
      </c>
      <c r="D31">
        <v>-3.4809587</v>
      </c>
    </row>
    <row r="32" spans="1:4" x14ac:dyDescent="0.25">
      <c r="A32">
        <v>387</v>
      </c>
      <c r="B32">
        <v>-1.2044870999999999</v>
      </c>
      <c r="C32">
        <v>9.2671030000000005</v>
      </c>
      <c r="D32">
        <v>-3.0783662999999999</v>
      </c>
    </row>
    <row r="33" spans="1:4" x14ac:dyDescent="0.25">
      <c r="A33">
        <v>389</v>
      </c>
      <c r="B33">
        <v>-1.6432709999999999</v>
      </c>
      <c r="C33">
        <v>9.5084789999999995</v>
      </c>
      <c r="D33">
        <v>-1.5173486</v>
      </c>
    </row>
    <row r="34" spans="1:4" x14ac:dyDescent="0.25">
      <c r="A34">
        <v>200</v>
      </c>
      <c r="B34">
        <v>-1.640579</v>
      </c>
      <c r="C34">
        <v>9.5276209999999999</v>
      </c>
      <c r="D34">
        <v>-7.7168529999999999E-2</v>
      </c>
    </row>
    <row r="35" spans="1:4" x14ac:dyDescent="0.25">
      <c r="A35">
        <v>382</v>
      </c>
      <c r="B35">
        <v>-1.5323038</v>
      </c>
      <c r="C35">
        <v>9.6535430000000009</v>
      </c>
      <c r="D35">
        <v>0.94546410000000003</v>
      </c>
    </row>
    <row r="36" spans="1:4" x14ac:dyDescent="0.25">
      <c r="A36">
        <v>390</v>
      </c>
      <c r="B36">
        <v>-1.5251254000000001</v>
      </c>
      <c r="C36">
        <v>9.7513500000000004</v>
      </c>
      <c r="D36">
        <v>1.1042875999999999</v>
      </c>
    </row>
    <row r="37" spans="1:4" x14ac:dyDescent="0.25">
      <c r="A37">
        <v>391</v>
      </c>
      <c r="B37">
        <v>-1.448555</v>
      </c>
      <c r="C37">
        <v>9.7016989999999996</v>
      </c>
      <c r="D37">
        <v>0.84317089999999995</v>
      </c>
    </row>
    <row r="38" spans="1:4" x14ac:dyDescent="0.25">
      <c r="A38">
        <v>389</v>
      </c>
      <c r="B38">
        <v>-1.2996018</v>
      </c>
      <c r="C38">
        <v>9.7217400000000005</v>
      </c>
      <c r="D38">
        <v>0.89102733000000001</v>
      </c>
    </row>
    <row r="39" spans="1:4" x14ac:dyDescent="0.25">
      <c r="A39">
        <v>388</v>
      </c>
      <c r="B39">
        <v>-1.3142579000000001</v>
      </c>
      <c r="C39">
        <v>9.7097750000000005</v>
      </c>
      <c r="D39">
        <v>1.0127622000000001</v>
      </c>
    </row>
    <row r="40" spans="1:4" x14ac:dyDescent="0.25">
      <c r="A40">
        <v>387</v>
      </c>
      <c r="B40">
        <v>-1.2352947000000001</v>
      </c>
      <c r="C40">
        <v>9.6801639999999995</v>
      </c>
      <c r="D40">
        <v>1.0178469999999999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acc8</vt:lpstr>
      <vt:lpstr>myCobot1</vt:lpstr>
      <vt:lpstr>instanteneous</vt:lpstr>
      <vt:lpstr>import</vt:lpstr>
      <vt:lpstr>import!Accelerometer_1679293146292_807c3385_f928_48c5_aede_a9998e462582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</dc:creator>
  <cp:lastModifiedBy>Boris Gafurov</cp:lastModifiedBy>
  <dcterms:created xsi:type="dcterms:W3CDTF">2023-03-15T16:30:08Z</dcterms:created>
  <dcterms:modified xsi:type="dcterms:W3CDTF">2023-03-20T12:57:05Z</dcterms:modified>
</cp:coreProperties>
</file>